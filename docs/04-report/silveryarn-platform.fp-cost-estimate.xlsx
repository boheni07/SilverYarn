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ILF_서버" sheetId="2" state="visible" r:id="rId2"/>
    <sheet xmlns:r="http://schemas.openxmlformats.org/officeDocument/2006/relationships" name="EIF_서버" sheetId="3" state="visible" r:id="rId3"/>
    <sheet xmlns:r="http://schemas.openxmlformats.org/officeDocument/2006/relationships" name="기능_서버" sheetId="4" state="visible" r:id="rId4"/>
    <sheet xmlns:r="http://schemas.openxmlformats.org/officeDocument/2006/relationships" name="ILF_모바일" sheetId="5" state="visible" r:id="rId5"/>
    <sheet xmlns:r="http://schemas.openxmlformats.org/officeDocument/2006/relationships" name="기능_모바일" sheetId="6" state="visible" r:id="rId6"/>
    <sheet xmlns:r="http://schemas.openxmlformats.org/officeDocument/2006/relationships" name="VAF산정" sheetId="7" state="visible" r:id="rId7"/>
    <sheet xmlns:r="http://schemas.openxmlformats.org/officeDocument/2006/relationships" name="FP집계" sheetId="8" state="visible" r:id="rId8"/>
    <sheet xmlns:r="http://schemas.openxmlformats.org/officeDocument/2006/relationships" name="SW개발비산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12"/>
    </font>
    <font>
      <name val="맑은 고딕"/>
      <b val="1"/>
      <color rgb="00FFFFFF"/>
      <sz val="10"/>
    </font>
    <font>
      <name val="맑은 고딕"/>
      <b val="1"/>
      <color rgb="00375623"/>
      <sz val="11"/>
    </font>
    <font>
      <name val="맑은 고딕"/>
      <i val="1"/>
      <color rgb="007F7F7F"/>
      <sz val="9"/>
    </font>
    <font>
      <name val="맑은 고딕"/>
      <b val="1"/>
      <color rgb="00BF8F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2E5395"/>
      </patternFill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vertical="top" wrapText="1"/>
    </xf>
    <xf numFmtId="0" fontId="4" fillId="4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6" fillId="6" borderId="0" pivotButton="0" quotePrefix="0" xfId="0"/>
    <xf numFmtId="2" fontId="6" fillId="6" borderId="0" pivotButton="0" quotePrefix="0" xfId="0"/>
    <xf numFmtId="2" fontId="2" fillId="3" borderId="0" pivotButton="0" quotePrefix="0" xfId="0"/>
    <xf numFmtId="0" fontId="2" fillId="0" borderId="1" pivotButton="0" quotePrefix="0" xfId="0"/>
    <xf numFmtId="2" fontId="3" fillId="0" borderId="1" pivotButton="0" quotePrefix="0" xfId="0"/>
    <xf numFmtId="0" fontId="7" fillId="0" borderId="1" applyAlignment="1" pivotButton="0" quotePrefix="0" xfId="0">
      <alignment vertical="top" wrapText="1"/>
    </xf>
    <xf numFmtId="0" fontId="6" fillId="6" borderId="1" pivotButton="0" quotePrefix="0" xfId="0"/>
    <xf numFmtId="2" fontId="6" fillId="6" borderId="1" pivotButton="0" quotePrefix="0" xfId="0"/>
    <xf numFmtId="3" fontId="8" fillId="7" borderId="1" pivotButton="0" quotePrefix="0" xfId="0"/>
    <xf numFmtId="3" fontId="6" fillId="6" borderId="1" pivotButton="0" quotePrefix="0" xfId="0"/>
    <xf numFmtId="9" fontId="8" fillId="7" borderId="1" pivotButton="0" quotePrefix="0" xfId="0"/>
    <xf numFmtId="3" fontId="3" fillId="0" borderId="1" pivotButton="0" quotePrefix="0" xfId="0"/>
    <xf numFmtId="0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2" customHeight="1">
      <c r="A1" s="1" t="inlineStr">
        <is>
          <t>은빛실타래(SilverYarn) FP 기반 SW개발비 산정 내역서</t>
        </is>
      </c>
    </row>
    <row r="3" ht="20" customHeight="1">
      <c r="A3" s="2" t="inlineStr">
        <is>
          <t>프로젝트명</t>
        </is>
      </c>
      <c r="B3" s="3" t="inlineStr">
        <is>
          <t>은빛실타래(SilverYarn) — 어르신 자서전 제작 및 AI 말벗돌봄 플랫폼</t>
        </is>
      </c>
    </row>
    <row r="5" ht="20" customHeight="1">
      <c r="A5" s="2" t="inlineStr">
        <is>
          <t>산정 기준일</t>
        </is>
      </c>
      <c r="B5" s="3" t="inlineStr">
        <is>
          <t>2026-09-13</t>
        </is>
      </c>
    </row>
    <row r="7" ht="30" customHeight="1">
      <c r="A7" s="2" t="inlineStr">
        <is>
          <t>적용 방법론</t>
        </is>
      </c>
      <c r="B7" s="3" t="inlineStr">
        <is>
          <t>IFPUG(FPA) 기능점수 방식 — 「소프트웨어산업 진흥법」 제19조 및 한국소프트웨어산업협회 「소프트웨어사업 대가산정 가이드」의 기능점수(FP) 산정 방식과 동일한 절차를 적용</t>
        </is>
      </c>
    </row>
    <row r="9" ht="45" customHeight="1">
      <c r="A9" s="2" t="inlineStr">
        <is>
          <t>산정 근거 문서</t>
        </is>
      </c>
      <c r="B9" s="3" t="inlineStr">
        <is>
          <t>docs/01-plan/schema.md(v1.17), docs/01-plan/mobile-schema.md(v0.11), docs/02-design/features/silveryarn-platform.design.md(v0.52), 실행 중인 백엔드 OpenAPI 스펙(46개 엔드포인트)</t>
        </is>
      </c>
    </row>
    <row r="11" ht="75" customHeight="1">
      <c r="A11" s="2" t="inlineStr">
        <is>
          <t>산정 범위</t>
        </is>
      </c>
      <c r="B11" s="3" t="inlineStr">
        <is>
          <t>① 서버 백엔드(FastAPI, services/backend) API 46종 + 데이터저장소 23종
② 모바일(Android) 온디바이스 로컬 기능 14종 + 로컬 저장소 6종
※ 웹(apps/web)·관리자(apps/admin) 콘솔은 위 서버 기능을 그대로 소비하는 화면이라 IFPUG 원칙상 별도 기능점수를 산정하지 않음(동일 업무기능 중복계산 배제)</t>
        </is>
      </c>
    </row>
    <row r="13" ht="30" customHeight="1">
      <c r="A13" s="2" t="inlineStr">
        <is>
          <t>제외 범위</t>
        </is>
      </c>
      <c r="B13" s="3" t="inlineStr">
        <is>
          <t>구독·결제 도메인(스코프아웃, decisions.md #18), 정서 모니터링 알림 발송 로직(Phase 1 피처플래그 OFF, decisions.md #52/#55), 출판 조판 엔진 세부 구현(Phase 3 예정)</t>
        </is>
      </c>
    </row>
    <row r="15" ht="30" customHeight="1">
      <c r="A15" s="2" t="inlineStr">
        <is>
          <t>⚠️ 확인 필요 사항</t>
        </is>
      </c>
      <c r="B15" s="3" t="inlineStr">
        <is>
          <t>[SW개발비산정] 시트의 'FP당 단가'는 한국소프트웨어산업협회가 매년 실측 공표하는 값을 넣어야 하는 자리로, 이 문서에는 예시값만 넣어 두었다. 실제 사업 대가 산정/계약 시 반드시 최신 공표자료로 교체할 것.</t>
        </is>
      </c>
    </row>
    <row r="18">
      <c r="A18" s="4" t="inlineStr">
        <is>
          <t>산정 절차 요약(IFPUG CPM)</t>
        </is>
      </c>
    </row>
    <row r="19">
      <c r="A19" s="5" t="inlineStr">
        <is>
          <t>① 데이터기능(ILF 내부논리파일 / EIF 외부연계파일)과 트랜잭션기능(EI 외부입력 / EO 외부출력 / EQ 외부조회)을 식별한다.</t>
        </is>
      </c>
    </row>
    <row r="20">
      <c r="A20" s="5" t="inlineStr">
        <is>
          <t>② 기능별 DET(사용자 인식 가능 필드 수)·RET(레코드 그룹 수) 또는 FTR(참조 파일 수)를 산정한다.</t>
        </is>
      </c>
    </row>
    <row r="21">
      <c r="A21" s="5" t="inlineStr">
        <is>
          <t>③ IFPUG 표준 복잡도 매트릭스로 Low/Average/High를 판정하고 가중치를 부여한다.</t>
        </is>
      </c>
    </row>
    <row r="22">
      <c r="A22" s="5" t="inlineStr">
        <is>
          <t>④ 미조정 기능점수(UFP) = 전체 기능 가중치의 합.</t>
        </is>
      </c>
    </row>
    <row r="23">
      <c r="A23" s="5" t="inlineStr">
        <is>
          <t>⑤ 14개 일반시스템특성(GSC)에 0~5점을 매겨 총점(TDI)을 구하고, 보정계수 VAF = 0.65 + (TDI × 0.01).</t>
        </is>
      </c>
    </row>
    <row r="24">
      <c r="A24" s="5" t="inlineStr">
        <is>
          <t>⑥ 조정 기능점수(AFP) = UFP × VAF.</t>
        </is>
      </c>
    </row>
    <row r="25">
      <c r="A25" s="5" t="inlineStr">
        <is>
          <t>⑦ SW개발비 = AFP × FP당 단가 × (1 + 이윤율) [+ 직접경비].</t>
        </is>
      </c>
    </row>
    <row r="27">
      <c r="A27" s="4" t="inlineStr">
        <is>
          <t>시트 구성</t>
        </is>
      </c>
    </row>
    <row r="28">
      <c r="A28" s="6" t="inlineStr">
        <is>
          <t>ILF_서버</t>
        </is>
      </c>
      <c r="B28" s="7" t="inlineStr">
        <is>
          <t>서버가 유지보수하는 내부논리파일(DB 테이블 19종 + 비RDB 저장소 3종) 22건</t>
        </is>
      </c>
    </row>
    <row r="29">
      <c r="A29" s="6" t="inlineStr">
        <is>
          <t>EIF_서버</t>
        </is>
      </c>
      <c r="B29" s="7" t="inlineStr">
        <is>
          <t>서버가 참조만 하는 외부연계파일(Keycloak) 1건</t>
        </is>
      </c>
    </row>
    <row r="30">
      <c r="A30" s="6" t="inlineStr">
        <is>
          <t>기능_서버</t>
        </is>
      </c>
      <c r="B30" s="7" t="inlineStr">
        <is>
          <t>서버 API 46종을 EI/EO/EQ로 분류·산정</t>
        </is>
      </c>
    </row>
    <row r="31">
      <c r="A31" s="6" t="inlineStr">
        <is>
          <t>ILF_모바일</t>
        </is>
      </c>
      <c r="B31" s="7" t="inlineStr">
        <is>
          <t>모바일 온디바이스 로컬 저장소(Room/SQLite) 6종</t>
        </is>
      </c>
    </row>
    <row r="32">
      <c r="A32" s="6" t="inlineStr">
        <is>
          <t>기능_모바일</t>
        </is>
      </c>
      <c r="B32" s="7" t="inlineStr">
        <is>
          <t>모바일 온디바이스 로컬 기능 14종을 EI/EO/EQ로 분류·산정</t>
        </is>
      </c>
    </row>
    <row r="33">
      <c r="A33" s="6" t="inlineStr">
        <is>
          <t>VAF산정</t>
        </is>
      </c>
      <c r="B33" s="7" t="inlineStr">
        <is>
          <t>14개 일반시스템특성 평가 및 보정계수 계산</t>
        </is>
      </c>
    </row>
    <row r="34">
      <c r="A34" s="6" t="inlineStr">
        <is>
          <t>FP집계</t>
        </is>
      </c>
      <c r="B34" s="7" t="inlineStr">
        <is>
          <t>전체 UFP·VAF·AFP 집계</t>
        </is>
      </c>
    </row>
    <row r="35">
      <c r="A35" s="6" t="inlineStr">
        <is>
          <t>SW개발비산정</t>
        </is>
      </c>
      <c r="B35" s="7" t="inlineStr">
        <is>
          <t>AFP를 원화 금액으로 환산 — FP단가·이윤율 등 조정 가능한 입력 셀 포함</t>
        </is>
      </c>
    </row>
  </sheetData>
  <mergeCells count="25">
    <mergeCell ref="B7:F7"/>
    <mergeCell ref="B3:F3"/>
    <mergeCell ref="A27:F27"/>
    <mergeCell ref="B31:F31"/>
    <mergeCell ref="A18:F18"/>
    <mergeCell ref="A21:F21"/>
    <mergeCell ref="B11:F11"/>
    <mergeCell ref="A23:F23"/>
    <mergeCell ref="A22:F22"/>
    <mergeCell ref="A20:F20"/>
    <mergeCell ref="B13:F13"/>
    <mergeCell ref="B29:F29"/>
    <mergeCell ref="A19:F19"/>
    <mergeCell ref="B34:F34"/>
    <mergeCell ref="B28:F28"/>
    <mergeCell ref="B9:F9"/>
    <mergeCell ref="A24:F24"/>
    <mergeCell ref="B30:F30"/>
    <mergeCell ref="B15:F15"/>
    <mergeCell ref="B33:F33"/>
    <mergeCell ref="A1:F1"/>
    <mergeCell ref="B5:F5"/>
    <mergeCell ref="B32:F32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22" customWidth="1" min="3" max="3"/>
    <col width="26" customWidth="1" min="4" max="4"/>
    <col width="7" customWidth="1" min="5" max="5"/>
    <col width="7" customWidth="1" min="6" max="6"/>
    <col width="10" customWidth="1" min="7" max="7"/>
    <col width="11" customWidth="1" min="8" max="8"/>
  </cols>
  <sheetData>
    <row r="1" ht="28" customHeight="1">
      <c r="A1" s="1" t="inlineStr">
        <is>
          <t>서버 내부논리파일(ILF) 목록</t>
        </is>
      </c>
    </row>
    <row r="2" ht="4" customHeight="1"/>
    <row r="3">
      <c r="A3" s="8" t="inlineStr">
        <is>
          <t>No</t>
        </is>
      </c>
      <c r="B3" s="8" t="inlineStr">
        <is>
          <t>구분</t>
        </is>
      </c>
      <c r="C3" s="8" t="inlineStr">
        <is>
          <t>논리파일명</t>
        </is>
      </c>
      <c r="D3" s="8" t="inlineStr">
        <is>
          <t>대응 테이블/저장소</t>
        </is>
      </c>
      <c r="E3" s="8" t="inlineStr">
        <is>
          <t>DET</t>
        </is>
      </c>
      <c r="F3" s="8" t="inlineStr">
        <is>
          <t>RET</t>
        </is>
      </c>
      <c r="G3" s="8" t="inlineStr">
        <is>
          <t>복잡도</t>
        </is>
      </c>
      <c r="H3" s="8" t="inlineStr">
        <is>
          <t>가중치(FP)</t>
        </is>
      </c>
    </row>
    <row r="4">
      <c r="A4" s="9" t="n">
        <v>1</v>
      </c>
      <c r="B4" s="9" t="inlineStr">
        <is>
          <t>ILF</t>
        </is>
      </c>
      <c r="C4" s="3" t="inlineStr">
        <is>
          <t>어르신(당사자) 정보</t>
        </is>
      </c>
      <c r="D4" s="3" t="inlineStr">
        <is>
          <t>users</t>
        </is>
      </c>
      <c r="E4" s="9" t="n">
        <v>7</v>
      </c>
      <c r="F4" s="9" t="n">
        <v>1</v>
      </c>
      <c r="G4" s="9" t="inlineStr">
        <is>
          <t>Low</t>
        </is>
      </c>
      <c r="H4" s="9" t="n">
        <v>7</v>
      </c>
    </row>
    <row r="5">
      <c r="A5" s="9" t="n">
        <v>2</v>
      </c>
      <c r="B5" s="9" t="inlineStr">
        <is>
          <t>ILF</t>
        </is>
      </c>
      <c r="C5" s="3" t="inlineStr">
        <is>
          <t>가족·복지사 구성원 정보</t>
        </is>
      </c>
      <c r="D5" s="3" t="inlineStr">
        <is>
          <t>family_members</t>
        </is>
      </c>
      <c r="E5" s="9" t="n">
        <v>7</v>
      </c>
      <c r="F5" s="9" t="n">
        <v>1</v>
      </c>
      <c r="G5" s="9" t="inlineStr">
        <is>
          <t>Low</t>
        </is>
      </c>
      <c r="H5" s="9" t="n">
        <v>7</v>
      </c>
    </row>
    <row r="6">
      <c r="A6" s="9" t="n">
        <v>3</v>
      </c>
      <c r="B6" s="9" t="inlineStr">
        <is>
          <t>ILF</t>
        </is>
      </c>
      <c r="C6" s="3" t="inlineStr">
        <is>
          <t>기기(단말) 레지스트리</t>
        </is>
      </c>
      <c r="D6" s="3" t="inlineStr">
        <is>
          <t>devices</t>
        </is>
      </c>
      <c r="E6" s="9" t="n">
        <v>12</v>
      </c>
      <c r="F6" s="9" t="n">
        <v>1</v>
      </c>
      <c r="G6" s="9" t="inlineStr">
        <is>
          <t>Low</t>
        </is>
      </c>
      <c r="H6" s="9" t="n">
        <v>7</v>
      </c>
    </row>
    <row r="7">
      <c r="A7" s="9" t="n">
        <v>4</v>
      </c>
      <c r="B7" s="9" t="inlineStr">
        <is>
          <t>ILF</t>
        </is>
      </c>
      <c r="C7" s="3" t="inlineStr">
        <is>
          <t>자서전 챕터</t>
        </is>
      </c>
      <c r="D7" s="3" t="inlineStr">
        <is>
          <t>chapters</t>
        </is>
      </c>
      <c r="E7" s="9" t="n">
        <v>12</v>
      </c>
      <c r="F7" s="9" t="n">
        <v>2</v>
      </c>
      <c r="G7" s="9" t="inlineStr">
        <is>
          <t>Low</t>
        </is>
      </c>
      <c r="H7" s="9" t="n">
        <v>7</v>
      </c>
    </row>
    <row r="8">
      <c r="A8" s="9" t="n">
        <v>5</v>
      </c>
      <c r="B8" s="9" t="inlineStr">
        <is>
          <t>ILF</t>
        </is>
      </c>
      <c r="C8" s="3" t="inlineStr">
        <is>
          <t>챕터 감수 이력</t>
        </is>
      </c>
      <c r="D8" s="3" t="inlineStr">
        <is>
          <t>chapter_revisions</t>
        </is>
      </c>
      <c r="E8" s="9" t="n">
        <v>7</v>
      </c>
      <c r="F8" s="9" t="n">
        <v>1</v>
      </c>
      <c r="G8" s="9" t="inlineStr">
        <is>
          <t>Low</t>
        </is>
      </c>
      <c r="H8" s="9" t="n">
        <v>7</v>
      </c>
    </row>
    <row r="9">
      <c r="A9" s="9" t="n">
        <v>6</v>
      </c>
      <c r="B9" s="9" t="inlineStr">
        <is>
          <t>ILF</t>
        </is>
      </c>
      <c r="C9" s="3" t="inlineStr">
        <is>
          <t>사진</t>
        </is>
      </c>
      <c r="D9" s="3" t="inlineStr">
        <is>
          <t>photos</t>
        </is>
      </c>
      <c r="E9" s="9" t="n">
        <v>19</v>
      </c>
      <c r="F9" s="9" t="n">
        <v>2</v>
      </c>
      <c r="G9" s="9" t="inlineStr">
        <is>
          <t>Low</t>
        </is>
      </c>
      <c r="H9" s="9" t="n">
        <v>7</v>
      </c>
    </row>
    <row r="10">
      <c r="A10" s="9" t="n">
        <v>7</v>
      </c>
      <c r="B10" s="9" t="inlineStr">
        <is>
          <t>ILF</t>
        </is>
      </c>
      <c r="C10" s="3" t="inlineStr">
        <is>
          <t>사진 추가 요청</t>
        </is>
      </c>
      <c r="D10" s="3" t="inlineStr">
        <is>
          <t>photo_requests</t>
        </is>
      </c>
      <c r="E10" s="9" t="n">
        <v>7</v>
      </c>
      <c r="F10" s="9" t="n">
        <v>1</v>
      </c>
      <c r="G10" s="9" t="inlineStr">
        <is>
          <t>Low</t>
        </is>
      </c>
      <c r="H10" s="9" t="n">
        <v>7</v>
      </c>
    </row>
    <row r="11">
      <c r="A11" s="9" t="n">
        <v>8</v>
      </c>
      <c r="B11" s="9" t="inlineStr">
        <is>
          <t>ILF</t>
        </is>
      </c>
      <c r="C11" s="3" t="inlineStr">
        <is>
          <t>구술 대화 청크</t>
        </is>
      </c>
      <c r="D11" s="3" t="inlineStr">
        <is>
          <t>conversation_chunks</t>
        </is>
      </c>
      <c r="E11" s="9" t="n">
        <v>20</v>
      </c>
      <c r="F11" s="9" t="n">
        <v>2</v>
      </c>
      <c r="G11" s="9" t="inlineStr">
        <is>
          <t>Average</t>
        </is>
      </c>
      <c r="H11" s="9" t="n">
        <v>10</v>
      </c>
    </row>
    <row r="12">
      <c r="A12" s="9" t="n">
        <v>9</v>
      </c>
      <c r="B12" s="9" t="inlineStr">
        <is>
          <t>ILF</t>
        </is>
      </c>
      <c r="C12" s="3" t="inlineStr">
        <is>
          <t>회고 질문 큐</t>
        </is>
      </c>
      <c r="D12" s="3" t="inlineStr">
        <is>
          <t>questions</t>
        </is>
      </c>
      <c r="E12" s="9" t="n">
        <v>6</v>
      </c>
      <c r="F12" s="9" t="n">
        <v>1</v>
      </c>
      <c r="G12" s="9" t="inlineStr">
        <is>
          <t>Low</t>
        </is>
      </c>
      <c r="H12" s="9" t="n">
        <v>7</v>
      </c>
    </row>
    <row r="13">
      <c r="A13" s="9" t="n">
        <v>10</v>
      </c>
      <c r="B13" s="9" t="inlineStr">
        <is>
          <t>ILF</t>
        </is>
      </c>
      <c r="C13" s="3" t="inlineStr">
        <is>
          <t>일정·복약 항목</t>
        </is>
      </c>
      <c r="D13" s="3" t="inlineStr">
        <is>
          <t>schedule_items</t>
        </is>
      </c>
      <c r="E13" s="9" t="n">
        <v>12</v>
      </c>
      <c r="F13" s="9" t="n">
        <v>2</v>
      </c>
      <c r="G13" s="9" t="inlineStr">
        <is>
          <t>Low</t>
        </is>
      </c>
      <c r="H13" s="9" t="n">
        <v>7</v>
      </c>
    </row>
    <row r="14">
      <c r="A14" s="9" t="n">
        <v>11</v>
      </c>
      <c r="B14" s="9" t="inlineStr">
        <is>
          <t>ILF</t>
        </is>
      </c>
      <c r="C14" s="3" t="inlineStr">
        <is>
          <t>정서 알림</t>
        </is>
      </c>
      <c r="D14" s="3" t="inlineStr">
        <is>
          <t>emotion_alerts</t>
        </is>
      </c>
      <c r="E14" s="9" t="n">
        <v>6</v>
      </c>
      <c r="F14" s="9" t="n">
        <v>1</v>
      </c>
      <c r="G14" s="9" t="inlineStr">
        <is>
          <t>Low</t>
        </is>
      </c>
      <c r="H14" s="9" t="n">
        <v>7</v>
      </c>
    </row>
    <row r="15">
      <c r="A15" s="9" t="n">
        <v>12</v>
      </c>
      <c r="B15" s="9" t="inlineStr">
        <is>
          <t>ILF</t>
        </is>
      </c>
      <c r="C15" s="3" t="inlineStr">
        <is>
          <t>일별 정서 점수</t>
        </is>
      </c>
      <c r="D15" s="3" t="inlineStr">
        <is>
          <t>emotion_scores</t>
        </is>
      </c>
      <c r="E15" s="9" t="n">
        <v>5</v>
      </c>
      <c r="F15" s="9" t="n">
        <v>1</v>
      </c>
      <c r="G15" s="9" t="inlineStr">
        <is>
          <t>Low</t>
        </is>
      </c>
      <c r="H15" s="9" t="n">
        <v>7</v>
      </c>
    </row>
    <row r="16">
      <c r="A16" s="9" t="n">
        <v>13</v>
      </c>
      <c r="B16" s="9" t="inlineStr">
        <is>
          <t>ILF</t>
        </is>
      </c>
      <c r="C16" s="3" t="inlineStr">
        <is>
          <t>동기화 이력</t>
        </is>
      </c>
      <c r="D16" s="3" t="inlineStr">
        <is>
          <t>sync_sessions</t>
        </is>
      </c>
      <c r="E16" s="9" t="n">
        <v>8</v>
      </c>
      <c r="F16" s="9" t="n">
        <v>1</v>
      </c>
      <c r="G16" s="9" t="inlineStr">
        <is>
          <t>Low</t>
        </is>
      </c>
      <c r="H16" s="9" t="n">
        <v>7</v>
      </c>
    </row>
    <row r="17">
      <c r="A17" s="9" t="n">
        <v>14</v>
      </c>
      <c r="B17" s="9" t="inlineStr">
        <is>
          <t>ILF</t>
        </is>
      </c>
      <c r="C17" s="3" t="inlineStr">
        <is>
          <t>동의 이력</t>
        </is>
      </c>
      <c r="D17" s="3" t="inlineStr">
        <is>
          <t>consent_logs</t>
        </is>
      </c>
      <c r="E17" s="9" t="n">
        <v>7</v>
      </c>
      <c r="F17" s="9" t="n">
        <v>1</v>
      </c>
      <c r="G17" s="9" t="inlineStr">
        <is>
          <t>Low</t>
        </is>
      </c>
      <c r="H17" s="9" t="n">
        <v>7</v>
      </c>
    </row>
    <row r="18">
      <c r="A18" s="9" t="n">
        <v>15</v>
      </c>
      <c r="B18" s="9" t="inlineStr">
        <is>
          <t>ILF</t>
        </is>
      </c>
      <c r="C18" s="3" t="inlineStr">
        <is>
          <t>알림 수신 설정</t>
        </is>
      </c>
      <c r="D18" s="3" t="inlineStr">
        <is>
          <t>notification_settings</t>
        </is>
      </c>
      <c r="E18" s="9" t="n">
        <v>6</v>
      </c>
      <c r="F18" s="9" t="n">
        <v>1</v>
      </c>
      <c r="G18" s="9" t="inlineStr">
        <is>
          <t>Low</t>
        </is>
      </c>
      <c r="H18" s="9" t="n">
        <v>7</v>
      </c>
    </row>
    <row r="19">
      <c r="A19" s="9" t="n">
        <v>16</v>
      </c>
      <c r="B19" s="9" t="inlineStr">
        <is>
          <t>ILF</t>
        </is>
      </c>
      <c r="C19" s="3" t="inlineStr">
        <is>
          <t>가족 구성원 초대</t>
        </is>
      </c>
      <c r="D19" s="3" t="inlineStr">
        <is>
          <t>invitations</t>
        </is>
      </c>
      <c r="E19" s="9" t="n">
        <v>9</v>
      </c>
      <c r="F19" s="9" t="n">
        <v>1</v>
      </c>
      <c r="G19" s="9" t="inlineStr">
        <is>
          <t>Low</t>
        </is>
      </c>
      <c r="H19" s="9" t="n">
        <v>7</v>
      </c>
    </row>
    <row r="20">
      <c r="A20" s="9" t="n">
        <v>17</v>
      </c>
      <c r="B20" s="9" t="inlineStr">
        <is>
          <t>ILF</t>
        </is>
      </c>
      <c r="C20" s="3" t="inlineStr">
        <is>
          <t>출판 요청</t>
        </is>
      </c>
      <c r="D20" s="3" t="inlineStr">
        <is>
          <t>publications</t>
        </is>
      </c>
      <c r="E20" s="9" t="n">
        <v>5</v>
      </c>
      <c r="F20" s="9" t="n">
        <v>1</v>
      </c>
      <c r="G20" s="9" t="inlineStr">
        <is>
          <t>Low</t>
        </is>
      </c>
      <c r="H20" s="9" t="n">
        <v>7</v>
      </c>
    </row>
    <row r="21">
      <c r="A21" s="9" t="n">
        <v>18</v>
      </c>
      <c r="B21" s="9" t="inlineStr">
        <is>
          <t>ILF</t>
        </is>
      </c>
      <c r="C21" s="3" t="inlineStr">
        <is>
          <t>B2G 시설</t>
        </is>
      </c>
      <c r="D21" s="3" t="inlineStr">
        <is>
          <t>organizations</t>
        </is>
      </c>
      <c r="E21" s="9" t="n">
        <v>3</v>
      </c>
      <c r="F21" s="9" t="n">
        <v>1</v>
      </c>
      <c r="G21" s="9" t="inlineStr">
        <is>
          <t>Low</t>
        </is>
      </c>
      <c r="H21" s="9" t="n">
        <v>7</v>
      </c>
    </row>
    <row r="22">
      <c r="A22" s="9" t="n">
        <v>19</v>
      </c>
      <c r="B22" s="9" t="inlineStr">
        <is>
          <t>ILF</t>
        </is>
      </c>
      <c r="C22" s="3" t="inlineStr">
        <is>
          <t>보유기간 정책</t>
        </is>
      </c>
      <c r="D22" s="3" t="inlineStr">
        <is>
          <t>retention_policies</t>
        </is>
      </c>
      <c r="E22" s="9" t="n">
        <v>4</v>
      </c>
      <c r="F22" s="9" t="n">
        <v>1</v>
      </c>
      <c r="G22" s="9" t="inlineStr">
        <is>
          <t>Low</t>
        </is>
      </c>
      <c r="H22" s="9" t="n">
        <v>7</v>
      </c>
    </row>
    <row r="23">
      <c r="A23" s="9" t="n">
        <v>20</v>
      </c>
      <c r="B23" s="9" t="inlineStr">
        <is>
          <t>ILF</t>
        </is>
      </c>
      <c r="C23" s="3" t="inlineStr">
        <is>
          <t>임베딩 벡터 저장소</t>
        </is>
      </c>
      <c r="D23" s="3" t="inlineStr">
        <is>
          <t>Qdrant(conversation_chunks 컬렉션)</t>
        </is>
      </c>
      <c r="E23" s="9" t="n">
        <v>3</v>
      </c>
      <c r="F23" s="9" t="n">
        <v>1</v>
      </c>
      <c r="G23" s="9" t="inlineStr">
        <is>
          <t>Low</t>
        </is>
      </c>
      <c r="H23" s="9" t="n">
        <v>7</v>
      </c>
    </row>
    <row r="24">
      <c r="A24" s="9" t="n">
        <v>21</v>
      </c>
      <c r="B24" s="9" t="inlineStr">
        <is>
          <t>ILF</t>
        </is>
      </c>
      <c r="C24" s="3" t="inlineStr">
        <is>
          <t>지식그래프 저장소</t>
        </is>
      </c>
      <c r="D24" s="3" t="inlineStr">
        <is>
          <t>Neo4j(Person/ConversationChunk 노드)</t>
        </is>
      </c>
      <c r="E24" s="9" t="n">
        <v>6</v>
      </c>
      <c r="F24" s="9" t="n">
        <v>1</v>
      </c>
      <c r="G24" s="9" t="inlineStr">
        <is>
          <t>Low</t>
        </is>
      </c>
      <c r="H24" s="9" t="n">
        <v>7</v>
      </c>
    </row>
    <row r="25">
      <c r="A25" s="9" t="n">
        <v>22</v>
      </c>
      <c r="B25" s="9" t="inlineStr">
        <is>
          <t>ILF</t>
        </is>
      </c>
      <c r="C25" s="3" t="inlineStr">
        <is>
          <t>미디어 원본 저장소</t>
        </is>
      </c>
      <c r="D25" s="3" t="inlineStr">
        <is>
          <t>MinIO(오브젝트 스토리지)</t>
        </is>
      </c>
      <c r="E25" s="9" t="n">
        <v>4</v>
      </c>
      <c r="F25" s="9" t="n">
        <v>1</v>
      </c>
      <c r="G25" s="9" t="inlineStr">
        <is>
          <t>Low</t>
        </is>
      </c>
      <c r="H25" s="9" t="n">
        <v>7</v>
      </c>
    </row>
    <row r="27">
      <c r="A27" s="10" t="inlineStr">
        <is>
          <t>상세 설명</t>
        </is>
      </c>
    </row>
    <row r="28" ht="28" customHeight="1">
      <c r="A28" s="5" t="inlineStr">
        <is>
          <t>1. 어르신(당사자) 정보 (users) — 자서전·말벗돌봄 서비스의 1차 사용자(어르신) 기본정보 — 이름·생년월일·소속기기·시설(B2G)·단기압축기억(persona) 스냅샷. schema.md §3.1.</t>
        </is>
      </c>
    </row>
    <row r="29" ht="28" customHeight="1">
      <c r="A29" s="5" t="inlineStr">
        <is>
          <t>2. 가족·복지사 구성원 정보 (family_members) — 어르신에 연결된 2차 사용자(가족/요양보호사/복지사/관리자) — 역할·연락처·2FA 여부·소속시설. schema.md §3.2.</t>
        </is>
      </c>
    </row>
    <row r="30" ht="28" customHeight="1">
      <c r="A30" s="5" t="inlineStr">
        <is>
          <t>3. 기기(단말) 레지스트리 (devices) — 설치된 스마트폰의 사양(RAM·OS·NPU)·설치모드(키오스크/일반)·탑재 SLM/프롬프트팩 버전을 관리하는 기기 마스터. schema.md §3.3.</t>
        </is>
      </c>
    </row>
    <row r="31" ht="28" customHeight="1">
      <c r="A31" s="5" t="inlineStr">
        <is>
          <t>4. 자서전 챕터 (chapters) — 유년기~현재로 구분된 자서전 본문 — 초안/감수중/반려/확정 상태, 버전, Compaction Engine이 생성한 요약·키워드. RET=2(본문 그룹 + 압축요약 그룹). schema.md §3.4.</t>
        </is>
      </c>
    </row>
    <row r="32" ht="28" customHeight="1">
      <c r="A32" s="5" t="inlineStr">
        <is>
          <t>5. 챕터 감수 이력 (chapter_revisions) — 챕터 승인/반려 시점의 본문 스냅샷과 감수자·코멘트 이력. schema.md §3.5.</t>
        </is>
      </c>
    </row>
    <row r="33" ht="28" customHeight="1">
      <c r="A33" s="5" t="inlineStr">
        <is>
          <t>6. 사진 (photos) — 업로드된 사진의 저장위치·회고상태·자서전 삽입위치·품질검수 결과. 상태값에 따라 노출되는 속성군이 달라 RET=2. schema.md §3.6.</t>
        </is>
      </c>
    </row>
    <row r="34" ht="28" customHeight="1">
      <c r="A34" s="5" t="inlineStr">
        <is>
          <t>7. 사진 추가 요청 (photo_requests) — 가족이 당사자에게 신규 사진 업로드를 요청하는 흐름의 상태 관리. schema.md §3.7.</t>
        </is>
      </c>
    </row>
    <row r="35" ht="28" customHeight="1">
      <c r="A35" s="5" t="inlineStr">
        <is>
          <t>8. 구술 대화 청크 (conversation_chunks) — RAG 인덱싱 단위의 구술 전사·AI 응답·시기/인물/장소 메타데이터. 보유기간 만료/파기 시각 포함. 메타데이터 그룹이 조건부로 채워져 RET=2. schema.md §3.8, decisions.md #56.</t>
        </is>
      </c>
    </row>
    <row r="36" ht="28" customHeight="1">
      <c r="A36" s="5" t="inlineStr">
        <is>
          <t>9. 회고 질문 큐 (questions) — Critic Agent가 서사 완성도 갭을 분석해 생성한 심층 회고 질문 목록. schema.md §3.9.</t>
        </is>
      </c>
    </row>
    <row r="37" ht="28" customHeight="1">
      <c r="A37" s="5" t="inlineStr">
        <is>
          <t>10. 일정·복약 항목 (schedule_items) — 병원예약/복약 일정, 확인·거절·재알림 상태. 항목 종류(kind)에 따라 필드 의미가 달라 RET=2. schema.md §3.10.</t>
        </is>
      </c>
    </row>
    <row r="38" ht="28" customHeight="1">
      <c r="A38" s="5" t="inlineStr">
        <is>
          <t>11. 정서 알림 (emotion_alerts) — 정서 점수 임계치 초과 시 생성되는 알림·확인·종료 이력(Phase 1 피처플래그 OFF). schema.md §3.11.</t>
        </is>
      </c>
    </row>
    <row r="39" ht="28" customHeight="1">
      <c r="A39" s="5" t="inlineStr">
        <is>
          <t>12. 일별 정서 점수 (emotion_scores) — 발화 톤 분석 기반 일별 정서 점수 시계열(Phase 1 피처플래그 OFF). schema.md §3.12.</t>
        </is>
      </c>
    </row>
    <row r="40" ht="28" customHeight="1">
      <c r="A40" s="5" t="inlineStr">
        <is>
          <t>13. 동기화 이력 (sync_sessions) — Wi-Fi 배치 동기화(업/다운로드)의 상태·체크섬·재시도 이력. schema.md §3.13.</t>
        </is>
      </c>
    </row>
    <row r="41" ht="28" customHeight="1">
      <c r="A41" s="5" t="inlineStr">
        <is>
          <t>14. 동의 이력 (consent_logs) — 개인정보 수집·외부TTS·외부LLM·제3자제공·국외이전 5종 동의/철회 이력(append-only). schema.md §3.14.</t>
        </is>
      </c>
    </row>
    <row r="42" ht="28" customHeight="1">
      <c r="A42" s="5" t="inlineStr">
        <is>
          <t>15. 알림 수신 설정 (notification_settings) — 가족 구성원별 SMS/이메일/푸시 채널 및 수신 항목 설정. schema.md §3.15.</t>
        </is>
      </c>
    </row>
    <row r="43" ht="28" customHeight="1">
      <c r="A43" s="5" t="inlineStr">
        <is>
          <t>16. 가족 구성원 초대 (invitations) — admin 중개 초대 토큰·역할·소속시설·수락상태 관리. schema.md §3.16.</t>
        </is>
      </c>
    </row>
    <row r="44" ht="28" customHeight="1">
      <c r="A44" s="5" t="inlineStr">
        <is>
          <t>17. 출판 요청 (publications) — 완성 자서전의 인쇄용 PDF/ePub 조판·출판 요청 상태(Phase 3 예정). schema.md §3.17.</t>
        </is>
      </c>
    </row>
    <row r="45" ht="28" customHeight="1">
      <c r="A45" s="5" t="inlineStr">
        <is>
          <t>18. B2G 시설 (organizations) — 요양원·복지관 등 B2G 시설 — 시설 테넌시 안전망의 기준 엔티티. schema.md §3.20, decisions.md #59.</t>
        </is>
      </c>
    </row>
    <row r="46" ht="28" customHeight="1">
      <c r="A46" s="5" t="inlineStr">
        <is>
          <t>19. 보유기간 정책 (retention_policies) — 카테고리별 데이터 보유일수를 admin이 조정하는 설정 — 하드코딩 대신 DB 설정 테이블. schema.md §3.21, decisions.md #56.</t>
        </is>
      </c>
    </row>
    <row r="47" ht="28" customHeight="1">
      <c r="A47" s="5" t="inlineStr">
        <is>
          <t>20. 임베딩 벡터 저장소 (Qdrant(conversation_chunks 컬렉션)) — 구술 청크의 BGE-M3 임베딩 벡터 — 하이브리드(BM25+Dense) 검색의 색인 저장소. 원문 미저장(payload=user_id만, CTO 검토 B4).</t>
        </is>
      </c>
    </row>
    <row r="48" ht="28" customHeight="1">
      <c r="A48" s="5" t="inlineStr">
        <is>
          <t>21. 지식그래프 저장소 (Neo4j(Person/ConversationChunk 노드)) — 인물·사건·시기·장소 엔티티와 '언급됨' 관계를 저장하는 지식그래프 — 회고 대화 맥락 추적.</t>
        </is>
      </c>
    </row>
    <row r="49" ht="28" customHeight="1">
      <c r="A49" s="5" t="inlineStr">
        <is>
          <t>22. 미디어 원본 저장소 (MinIO(오브젝트 스토리지)) — 구술 원본 음성(.opus)·사진 원본·출판물 PDF/ePub의 바이너리 객체 저장소(presigned URL 접근).</t>
        </is>
      </c>
    </row>
    <row r="51">
      <c r="A51" s="11" t="inlineStr">
        <is>
          <t>합계</t>
        </is>
      </c>
      <c r="G51" s="11" t="n">
        <v>22</v>
      </c>
      <c r="H51" s="11">
        <f>SUM(H4:H25)</f>
        <v/>
      </c>
    </row>
  </sheetData>
  <mergeCells count="25">
    <mergeCell ref="A48:H48"/>
    <mergeCell ref="A30:H30"/>
    <mergeCell ref="A39:H39"/>
    <mergeCell ref="A36:H36"/>
    <mergeCell ref="A49:H49"/>
    <mergeCell ref="A1:H1"/>
    <mergeCell ref="A45:H45"/>
    <mergeCell ref="A41:H41"/>
    <mergeCell ref="A37:H37"/>
    <mergeCell ref="A46:H46"/>
    <mergeCell ref="A27:H27"/>
    <mergeCell ref="A42:H42"/>
    <mergeCell ref="A33:H33"/>
    <mergeCell ref="A47:H47"/>
    <mergeCell ref="A32:H32"/>
    <mergeCell ref="A51:F51"/>
    <mergeCell ref="A29:H29"/>
    <mergeCell ref="A35:H35"/>
    <mergeCell ref="A34:H34"/>
    <mergeCell ref="A43:H43"/>
    <mergeCell ref="A38:H38"/>
    <mergeCell ref="A28:H28"/>
    <mergeCell ref="A44:H44"/>
    <mergeCell ref="A31:H31"/>
    <mergeCell ref="A40:H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22" customWidth="1" min="3" max="3"/>
    <col width="26" customWidth="1" min="4" max="4"/>
    <col width="7" customWidth="1" min="5" max="5"/>
    <col width="7" customWidth="1" min="6" max="6"/>
    <col width="10" customWidth="1" min="7" max="7"/>
    <col width="11" customWidth="1" min="8" max="8"/>
  </cols>
  <sheetData>
    <row r="1" ht="28" customHeight="1">
      <c r="A1" s="1" t="inlineStr">
        <is>
          <t>서버 외부연계파일(EIF) 목록</t>
        </is>
      </c>
    </row>
    <row r="2" ht="4" customHeight="1"/>
    <row r="3">
      <c r="A3" s="8" t="inlineStr">
        <is>
          <t>No</t>
        </is>
      </c>
      <c r="B3" s="8" t="inlineStr">
        <is>
          <t>구분</t>
        </is>
      </c>
      <c r="C3" s="8" t="inlineStr">
        <is>
          <t>논리파일명</t>
        </is>
      </c>
      <c r="D3" s="8" t="inlineStr">
        <is>
          <t>대응 테이블/저장소</t>
        </is>
      </c>
      <c r="E3" s="8" t="inlineStr">
        <is>
          <t>DET</t>
        </is>
      </c>
      <c r="F3" s="8" t="inlineStr">
        <is>
          <t>RET</t>
        </is>
      </c>
      <c r="G3" s="8" t="inlineStr">
        <is>
          <t>복잡도</t>
        </is>
      </c>
      <c r="H3" s="8" t="inlineStr">
        <is>
          <t>가중치(FP)</t>
        </is>
      </c>
    </row>
    <row r="4">
      <c r="A4" s="9" t="n">
        <v>1</v>
      </c>
      <c r="B4" s="9" t="inlineStr">
        <is>
          <t>EIF</t>
        </is>
      </c>
      <c r="C4" s="3" t="inlineStr">
        <is>
          <t>외부 인증 디렉터리</t>
        </is>
      </c>
      <c r="D4" s="3" t="inlineStr">
        <is>
          <t>Keycloak Realm(사용자·역할)</t>
        </is>
      </c>
      <c r="E4" s="9" t="n">
        <v>5</v>
      </c>
      <c r="F4" s="9" t="n">
        <v>1</v>
      </c>
      <c r="G4" s="9" t="inlineStr">
        <is>
          <t>Low</t>
        </is>
      </c>
      <c r="H4" s="9" t="n">
        <v>5</v>
      </c>
    </row>
    <row r="6">
      <c r="A6" s="10" t="inlineStr">
        <is>
          <t>상세 설명</t>
        </is>
      </c>
    </row>
    <row r="7" ht="28" customHeight="1">
      <c r="A7" s="5" t="inlineStr">
        <is>
          <t>1. 외부 인증 디렉터리 (Keycloak Realm(사용자·역할)) — 웹 콘솔 사용자의 SSO 계정·역할·2FA 여부를 관리하는 외부 시스템 — 본 애플리케이션은 JWKS로 토큰만 검증하고 데이터는 유지보수하지 않는다(EIF).</t>
        </is>
      </c>
    </row>
    <row r="9">
      <c r="A9" s="11" t="inlineStr">
        <is>
          <t>합계</t>
        </is>
      </c>
      <c r="G9" s="11" t="n">
        <v>1</v>
      </c>
      <c r="H9" s="11">
        <f>SUM(H4:H4)</f>
        <v/>
      </c>
    </row>
  </sheetData>
  <mergeCells count="4">
    <mergeCell ref="A7:H7"/>
    <mergeCell ref="A6:H6"/>
    <mergeCell ref="A9:F9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8" customWidth="1" min="3" max="3"/>
    <col width="30" customWidth="1" min="4" max="4"/>
    <col width="22" customWidth="1" min="5" max="5"/>
    <col width="55" customWidth="1" min="6" max="6"/>
    <col width="6" customWidth="1" min="7" max="7"/>
    <col width="6" customWidth="1" min="8" max="8"/>
    <col width="11" customWidth="1" min="9" max="9"/>
  </cols>
  <sheetData>
    <row r="1" ht="28" customHeight="1">
      <c r="A1" s="1" t="inlineStr">
        <is>
          <t>서버 트랜잭션 기능(EI/EO/EQ) 목록 — API 46종</t>
        </is>
      </c>
    </row>
    <row r="2" ht="4" customHeight="1"/>
    <row r="3">
      <c r="A3" s="8" t="inlineStr">
        <is>
          <t>No</t>
        </is>
      </c>
      <c r="B3" s="8" t="inlineStr">
        <is>
          <t>구분</t>
        </is>
      </c>
      <c r="C3" s="8" t="inlineStr">
        <is>
          <t>Method</t>
        </is>
      </c>
      <c r="D3" s="8" t="inlineStr">
        <is>
          <t>Path</t>
        </is>
      </c>
      <c r="E3" s="8" t="inlineStr">
        <is>
          <t>기능명</t>
        </is>
      </c>
      <c r="F3" s="8" t="inlineStr">
        <is>
          <t>상세 설명</t>
        </is>
      </c>
      <c r="G3" s="8" t="inlineStr">
        <is>
          <t>DET</t>
        </is>
      </c>
      <c r="H3" s="8" t="inlineStr">
        <is>
          <t>FTR</t>
        </is>
      </c>
      <c r="I3" s="8" t="inlineStr">
        <is>
          <t>가중치(FP)</t>
        </is>
      </c>
    </row>
    <row r="4">
      <c r="A4" s="9" t="n">
        <v>1</v>
      </c>
      <c r="B4" s="9" t="inlineStr">
        <is>
          <t>EQ</t>
        </is>
      </c>
      <c r="C4" s="9" t="inlineStr">
        <is>
          <t>GET</t>
        </is>
      </c>
      <c r="D4" s="9" t="inlineStr">
        <is>
          <t>/chapters/{id}</t>
        </is>
      </c>
      <c r="E4" s="3" t="inlineStr">
        <is>
          <t>챕터 단건 조회</t>
        </is>
      </c>
      <c r="F4" s="3" t="inlineStr">
        <is>
          <t>챕터 본문·상태·버전을 단건 조회한다.</t>
        </is>
      </c>
      <c r="G4" s="9" t="n">
        <v>9</v>
      </c>
      <c r="H4" s="9" t="n">
        <v>1</v>
      </c>
      <c r="I4" s="9" t="n">
        <v>3</v>
      </c>
    </row>
    <row r="5">
      <c r="A5" s="9" t="n">
        <v>2</v>
      </c>
      <c r="B5" s="9" t="inlineStr">
        <is>
          <t>EI</t>
        </is>
      </c>
      <c r="C5" s="9" t="inlineStr">
        <is>
          <t>POST</t>
        </is>
      </c>
      <c r="D5" s="9" t="inlineStr">
        <is>
          <t>/chapters/{id}/review</t>
        </is>
      </c>
      <c r="E5" s="3" t="inlineStr">
        <is>
          <t>챕터 감수 승인/반려</t>
        </is>
      </c>
      <c r="F5" s="3" t="inlineStr">
        <is>
          <t>가족이 챕터를 승인/반려하고 감수 이력을 생성한다. 승인 시 Compaction 재확인 안전망을 동반 트리거한다(chapters+chapter_revisions).</t>
        </is>
      </c>
      <c r="G5" s="9" t="n">
        <v>8</v>
      </c>
      <c r="H5" s="9" t="n">
        <v>2</v>
      </c>
      <c r="I5" s="9" t="n">
        <v>4</v>
      </c>
    </row>
    <row r="6">
      <c r="A6" s="9" t="n">
        <v>3</v>
      </c>
      <c r="B6" s="9" t="inlineStr">
        <is>
          <t>EQ</t>
        </is>
      </c>
      <c r="C6" s="9" t="inlineStr">
        <is>
          <t>GET</t>
        </is>
      </c>
      <c r="D6" s="9" t="inlineStr">
        <is>
          <t>/chapters/{id}/revisions</t>
        </is>
      </c>
      <c r="E6" s="3" t="inlineStr">
        <is>
          <t>챕터 감수 이력 조회</t>
        </is>
      </c>
      <c r="F6" s="3" t="inlineStr">
        <is>
          <t>특정 챕터의 승인/반려 이력을 조회한다.</t>
        </is>
      </c>
      <c r="G6" s="9" t="n">
        <v>6</v>
      </c>
      <c r="H6" s="9" t="n">
        <v>1</v>
      </c>
      <c r="I6" s="9" t="n">
        <v>3</v>
      </c>
    </row>
    <row r="7">
      <c r="A7" s="9" t="n">
        <v>4</v>
      </c>
      <c r="B7" s="9" t="inlineStr">
        <is>
          <t>EQ</t>
        </is>
      </c>
      <c r="C7" s="9" t="inlineStr">
        <is>
          <t>GET</t>
        </is>
      </c>
      <c r="D7" s="9" t="inlineStr">
        <is>
          <t>/conversation-chunks/{id}</t>
        </is>
      </c>
      <c r="E7" s="3" t="inlineStr">
        <is>
          <t>구술 청크 단건 조회</t>
        </is>
      </c>
      <c r="F7" s="3" t="inlineStr">
        <is>
          <t>구술 청크 1건을 복호화하여 조회한다.</t>
        </is>
      </c>
      <c r="G7" s="9" t="n">
        <v>14</v>
      </c>
      <c r="H7" s="9" t="n">
        <v>1</v>
      </c>
      <c r="I7" s="9" t="n">
        <v>3</v>
      </c>
    </row>
    <row r="8">
      <c r="A8" s="9" t="n">
        <v>5</v>
      </c>
      <c r="B8" s="9" t="inlineStr">
        <is>
          <t>EI</t>
        </is>
      </c>
      <c r="C8" s="9" t="inlineStr">
        <is>
          <t>POST</t>
        </is>
      </c>
      <c r="D8" s="9" t="inlineStr">
        <is>
          <t>/devices</t>
        </is>
      </c>
      <c r="E8" s="3" t="inlineStr">
        <is>
          <t>기기 신규 등록</t>
        </is>
      </c>
      <c r="F8" s="3" t="inlineStr">
        <is>
          <t>설치 시점 1회 기기를 등록하고 Device Token을 발급한다(부트스트랩, 인증 없음).</t>
        </is>
      </c>
      <c r="G8" s="9" t="n">
        <v>10</v>
      </c>
      <c r="H8" s="9" t="n">
        <v>1</v>
      </c>
      <c r="I8" s="9" t="n">
        <v>3</v>
      </c>
    </row>
    <row r="9">
      <c r="A9" s="9" t="n">
        <v>6</v>
      </c>
      <c r="B9" s="9" t="inlineStr">
        <is>
          <t>EQ</t>
        </is>
      </c>
      <c r="C9" s="9" t="inlineStr">
        <is>
          <t>GET</t>
        </is>
      </c>
      <c r="D9" s="9" t="inlineStr">
        <is>
          <t>/family-members/{id}/notification-settings</t>
        </is>
      </c>
      <c r="E9" s="3" t="inlineStr">
        <is>
          <t>알림 수신 설정 조회</t>
        </is>
      </c>
      <c r="F9" s="3" t="inlineStr">
        <is>
          <t>구성원의 채널별 알림 수신 설정을 조회한다.</t>
        </is>
      </c>
      <c r="G9" s="9" t="n">
        <v>5</v>
      </c>
      <c r="H9" s="9" t="n">
        <v>1</v>
      </c>
      <c r="I9" s="9" t="n">
        <v>3</v>
      </c>
    </row>
    <row r="10">
      <c r="A10" s="9" t="n">
        <v>7</v>
      </c>
      <c r="B10" s="9" t="inlineStr">
        <is>
          <t>EI</t>
        </is>
      </c>
      <c r="C10" s="9" t="inlineStr">
        <is>
          <t>PUT</t>
        </is>
      </c>
      <c r="D10" s="9" t="inlineStr">
        <is>
          <t>/family-members/{id}/notification-settings</t>
        </is>
      </c>
      <c r="E10" s="3" t="inlineStr">
        <is>
          <t>알림 수신 설정 변경</t>
        </is>
      </c>
      <c r="F10" s="3" t="inlineStr">
        <is>
          <t>구성원의 알림 수신 설정 전체를 교체(delete→insert)한다.</t>
        </is>
      </c>
      <c r="G10" s="9" t="n">
        <v>5</v>
      </c>
      <c r="H10" s="9" t="n">
        <v>1</v>
      </c>
      <c r="I10" s="9" t="n">
        <v>3</v>
      </c>
    </row>
    <row r="11">
      <c r="A11" s="9" t="n">
        <v>8</v>
      </c>
      <c r="B11" s="9" t="inlineStr">
        <is>
          <t>EI</t>
        </is>
      </c>
      <c r="C11" s="9" t="inlineStr">
        <is>
          <t>POST</t>
        </is>
      </c>
      <c r="D11" s="9" t="inlineStr">
        <is>
          <t>/invitations</t>
        </is>
      </c>
      <c r="E11" s="3" t="inlineStr">
        <is>
          <t>가족 구성원 초대 생성</t>
        </is>
      </c>
      <c r="F11" s="3" t="inlineStr">
        <is>
          <t>admin/가족이 신규 구성원 초대 토큰을 발급한다(연락처·역할·소속시설 지정).</t>
        </is>
      </c>
      <c r="G11" s="9" t="n">
        <v>6</v>
      </c>
      <c r="H11" s="9" t="n">
        <v>2</v>
      </c>
      <c r="I11" s="9" t="n">
        <v>4</v>
      </c>
    </row>
    <row r="12">
      <c r="A12" s="9" t="n">
        <v>9</v>
      </c>
      <c r="B12" s="9" t="inlineStr">
        <is>
          <t>EQ</t>
        </is>
      </c>
      <c r="C12" s="9" t="inlineStr">
        <is>
          <t>GET</t>
        </is>
      </c>
      <c r="D12" s="9" t="inlineStr">
        <is>
          <t>/invitations/{token}</t>
        </is>
      </c>
      <c r="E12" s="3" t="inlineStr">
        <is>
          <t>초대 토큰 조회</t>
        </is>
      </c>
      <c r="F12" s="3" t="inlineStr">
        <is>
          <t>토큰 자체가 접근권한이라 무인증으로 초대 정보를 조회한다.</t>
        </is>
      </c>
      <c r="G12" s="9" t="n">
        <v>6</v>
      </c>
      <c r="H12" s="9" t="n">
        <v>1</v>
      </c>
      <c r="I12" s="9" t="n">
        <v>3</v>
      </c>
    </row>
    <row r="13">
      <c r="A13" s="9" t="n">
        <v>10</v>
      </c>
      <c r="B13" s="9" t="inlineStr">
        <is>
          <t>EI</t>
        </is>
      </c>
      <c r="C13" s="9" t="inlineStr">
        <is>
          <t>POST</t>
        </is>
      </c>
      <c r="D13" s="9" t="inlineStr">
        <is>
          <t>/invitations/{token}/accept</t>
        </is>
      </c>
      <c r="E13" s="3" t="inlineStr">
        <is>
          <t>초대 수락</t>
        </is>
      </c>
      <c r="F13" s="3" t="inlineStr">
        <is>
          <t>초대받은 사용자가 로그인 후 수락 — 신규 계정과 초대 토큰을 연결한다.</t>
        </is>
      </c>
      <c r="G13" s="9" t="n">
        <v>4</v>
      </c>
      <c r="H13" s="9" t="n">
        <v>2</v>
      </c>
      <c r="I13" s="9" t="n">
        <v>3</v>
      </c>
    </row>
    <row r="14">
      <c r="A14" s="9" t="n">
        <v>11</v>
      </c>
      <c r="B14" s="9" t="inlineStr">
        <is>
          <t>EQ</t>
        </is>
      </c>
      <c r="C14" s="9" t="inlineStr">
        <is>
          <t>GET</t>
        </is>
      </c>
      <c r="D14" s="9" t="inlineStr">
        <is>
          <t>/organizations</t>
        </is>
      </c>
      <c r="E14" s="3" t="inlineStr">
        <is>
          <t>시설 목록 조회</t>
        </is>
      </c>
      <c r="F14" s="3" t="inlineStr">
        <is>
          <t>B2G 시설(요양원·복지관) 전체 목록을 조회한다.</t>
        </is>
      </c>
      <c r="G14" s="9" t="n">
        <v>3</v>
      </c>
      <c r="H14" s="9" t="n">
        <v>1</v>
      </c>
      <c r="I14" s="9" t="n">
        <v>3</v>
      </c>
    </row>
    <row r="15">
      <c r="A15" s="9" t="n">
        <v>12</v>
      </c>
      <c r="B15" s="9" t="inlineStr">
        <is>
          <t>EI</t>
        </is>
      </c>
      <c r="C15" s="9" t="inlineStr">
        <is>
          <t>POST</t>
        </is>
      </c>
      <c r="D15" s="9" t="inlineStr">
        <is>
          <t>/organizations</t>
        </is>
      </c>
      <c r="E15" s="3" t="inlineStr">
        <is>
          <t>시설 신규 등록</t>
        </is>
      </c>
      <c r="F15" s="3" t="inlineStr">
        <is>
          <t>B2G 시설을 신규 등록한다(admin).</t>
        </is>
      </c>
      <c r="G15" s="9" t="n">
        <v>3</v>
      </c>
      <c r="H15" s="9" t="n">
        <v>1</v>
      </c>
      <c r="I15" s="9" t="n">
        <v>3</v>
      </c>
    </row>
    <row r="16">
      <c r="A16" s="9" t="n">
        <v>13</v>
      </c>
      <c r="B16" s="9" t="inlineStr">
        <is>
          <t>EQ</t>
        </is>
      </c>
      <c r="C16" s="9" t="inlineStr">
        <is>
          <t>GET</t>
        </is>
      </c>
      <c r="D16" s="9" t="inlineStr">
        <is>
          <t>/organizations/{id}</t>
        </is>
      </c>
      <c r="E16" s="3" t="inlineStr">
        <is>
          <t>시설 단건 조회</t>
        </is>
      </c>
      <c r="F16" s="3" t="inlineStr">
        <is>
          <t>시설 1건의 상세를 조회한다.</t>
        </is>
      </c>
      <c r="G16" s="9" t="n">
        <v>3</v>
      </c>
      <c r="H16" s="9" t="n">
        <v>1</v>
      </c>
      <c r="I16" s="9" t="n">
        <v>3</v>
      </c>
    </row>
    <row r="17">
      <c r="A17" s="9" t="n">
        <v>14</v>
      </c>
      <c r="B17" s="9" t="inlineStr">
        <is>
          <t>EI</t>
        </is>
      </c>
      <c r="C17" s="9" t="inlineStr">
        <is>
          <t>POST</t>
        </is>
      </c>
      <c r="D17" s="9" t="inlineStr">
        <is>
          <t>/photo-requests</t>
        </is>
      </c>
      <c r="E17" s="3" t="inlineStr">
        <is>
          <t>사진 추가 요청 생성</t>
        </is>
      </c>
      <c r="F17" s="3" t="inlineStr">
        <is>
          <t>가족이 당사자에게 사진 업로드를 요청한다.</t>
        </is>
      </c>
      <c r="G17" s="9" t="n">
        <v>5</v>
      </c>
      <c r="H17" s="9" t="n">
        <v>2</v>
      </c>
      <c r="I17" s="9" t="n">
        <v>4</v>
      </c>
    </row>
    <row r="18">
      <c r="A18" s="9" t="n">
        <v>15</v>
      </c>
      <c r="B18" s="9" t="inlineStr">
        <is>
          <t>EI</t>
        </is>
      </c>
      <c r="C18" s="9" t="inlineStr">
        <is>
          <t>POST</t>
        </is>
      </c>
      <c r="D18" s="9" t="inlineStr">
        <is>
          <t>/photo-requests/{id}/dismiss</t>
        </is>
      </c>
      <c r="E18" s="3" t="inlineStr">
        <is>
          <t>사진 추가 요청 닫기</t>
        </is>
      </c>
      <c r="F18" s="3" t="inlineStr">
        <is>
          <t>충족되지 않은 사진 요청을 닫는다.</t>
        </is>
      </c>
      <c r="G18" s="9" t="n">
        <v>2</v>
      </c>
      <c r="H18" s="9" t="n">
        <v>1</v>
      </c>
      <c r="I18" s="9" t="n">
        <v>3</v>
      </c>
    </row>
    <row r="19">
      <c r="A19" s="9" t="n">
        <v>16</v>
      </c>
      <c r="B19" s="9" t="inlineStr">
        <is>
          <t>EI</t>
        </is>
      </c>
      <c r="C19" s="9" t="inlineStr">
        <is>
          <t>POST</t>
        </is>
      </c>
      <c r="D19" s="9" t="inlineStr">
        <is>
          <t>/photos/upload-url</t>
        </is>
      </c>
      <c r="E19" s="3" t="inlineStr">
        <is>
          <t>사진 업로드 URL 발급</t>
        </is>
      </c>
      <c r="F19" s="3" t="inlineStr">
        <is>
          <t>MinIO Presigned URL을 발급하고 pending_upload 상태의 사진 행을 생성한다.</t>
        </is>
      </c>
      <c r="G19" s="9" t="n">
        <v>6</v>
      </c>
      <c r="H19" s="9" t="n">
        <v>1</v>
      </c>
      <c r="I19" s="9" t="n">
        <v>3</v>
      </c>
    </row>
    <row r="20">
      <c r="A20" s="9" t="n">
        <v>17</v>
      </c>
      <c r="B20" s="9" t="inlineStr">
        <is>
          <t>EI</t>
        </is>
      </c>
      <c r="C20" s="9" t="inlineStr">
        <is>
          <t>POST</t>
        </is>
      </c>
      <c r="D20" s="9" t="inlineStr">
        <is>
          <t>/photos/{id}/complete</t>
        </is>
      </c>
      <c r="E20" s="3" t="inlineStr">
        <is>
          <t>사진 업로드 완료 확인</t>
        </is>
      </c>
      <c r="F20" s="3" t="inlineStr">
        <is>
          <t>업로드 완료 콜백을 받아 사진 상태를 uploaded로 전환한다.</t>
        </is>
      </c>
      <c r="G20" s="9" t="n">
        <v>3</v>
      </c>
      <c r="H20" s="9" t="n">
        <v>1</v>
      </c>
      <c r="I20" s="9" t="n">
        <v>3</v>
      </c>
    </row>
    <row r="21">
      <c r="A21" s="9" t="n">
        <v>18</v>
      </c>
      <c r="B21" s="9" t="inlineStr">
        <is>
          <t>EQ</t>
        </is>
      </c>
      <c r="C21" s="9" t="inlineStr">
        <is>
          <t>GET</t>
        </is>
      </c>
      <c r="D21" s="9" t="inlineStr">
        <is>
          <t>/retention-policies</t>
        </is>
      </c>
      <c r="E21" s="3" t="inlineStr">
        <is>
          <t>보유기간 정책 목록 조회</t>
        </is>
      </c>
      <c r="F21" s="3" t="inlineStr">
        <is>
          <t>카테고리별 보유일수 설정 목록을 조회한다(admin).</t>
        </is>
      </c>
      <c r="G21" s="9" t="n">
        <v>4</v>
      </c>
      <c r="H21" s="9" t="n">
        <v>1</v>
      </c>
      <c r="I21" s="9" t="n">
        <v>3</v>
      </c>
    </row>
    <row r="22">
      <c r="A22" s="9" t="n">
        <v>19</v>
      </c>
      <c r="B22" s="9" t="inlineStr">
        <is>
          <t>EI</t>
        </is>
      </c>
      <c r="C22" s="9" t="inlineStr">
        <is>
          <t>PUT</t>
        </is>
      </c>
      <c r="D22" s="9" t="inlineStr">
        <is>
          <t>/retention-policies/{category}</t>
        </is>
      </c>
      <c r="E22" s="3" t="inlineStr">
        <is>
          <t>보유기간 정책 변경</t>
        </is>
      </c>
      <c r="F22" s="3" t="inlineStr">
        <is>
          <t>카테고리별 보유일수를 admin이 직접 조정한다.</t>
        </is>
      </c>
      <c r="G22" s="9" t="n">
        <v>3</v>
      </c>
      <c r="H22" s="9" t="n">
        <v>1</v>
      </c>
      <c r="I22" s="9" t="n">
        <v>3</v>
      </c>
    </row>
    <row r="23">
      <c r="A23" s="9" t="n">
        <v>20</v>
      </c>
      <c r="B23" s="9" t="inlineStr">
        <is>
          <t>EQ</t>
        </is>
      </c>
      <c r="C23" s="9" t="inlineStr">
        <is>
          <t>GET</t>
        </is>
      </c>
      <c r="D23" s="9" t="inlineStr">
        <is>
          <t>/schedule-items/{id}</t>
        </is>
      </c>
      <c r="E23" s="3" t="inlineStr">
        <is>
          <t>일정 단건 조회</t>
        </is>
      </c>
      <c r="F23" s="3" t="inlineStr">
        <is>
          <t>일정/복약 항목 1건을 조회한다.</t>
        </is>
      </c>
      <c r="G23" s="9" t="n">
        <v>9</v>
      </c>
      <c r="H23" s="9" t="n">
        <v>1</v>
      </c>
      <c r="I23" s="9" t="n">
        <v>3</v>
      </c>
    </row>
    <row r="24">
      <c r="A24" s="9" t="n">
        <v>21</v>
      </c>
      <c r="B24" s="9" t="inlineStr">
        <is>
          <t>EI</t>
        </is>
      </c>
      <c r="C24" s="9" t="inlineStr">
        <is>
          <t>POST</t>
        </is>
      </c>
      <c r="D24" s="9" t="inlineStr">
        <is>
          <t>/schedule-items/{id}/next-reminder</t>
        </is>
      </c>
      <c r="E24" s="3" t="inlineStr">
        <is>
          <t>일정 재알림 예약</t>
        </is>
      </c>
      <c r="F24" s="3" t="inlineStr">
        <is>
          <t>가족이 '나중에 알림'을 눌러 재알림 시각을 갱신한다.</t>
        </is>
      </c>
      <c r="G24" s="9" t="n">
        <v>2</v>
      </c>
      <c r="H24" s="9" t="n">
        <v>1</v>
      </c>
      <c r="I24" s="9" t="n">
        <v>3</v>
      </c>
    </row>
    <row r="25">
      <c r="A25" s="9" t="n">
        <v>22</v>
      </c>
      <c r="B25" s="9" t="inlineStr">
        <is>
          <t>EI</t>
        </is>
      </c>
      <c r="C25" s="9" t="inlineStr">
        <is>
          <t>POST</t>
        </is>
      </c>
      <c r="D25" s="9" t="inlineStr">
        <is>
          <t>/schedule-items/{id}/respond</t>
        </is>
      </c>
      <c r="E25" s="3" t="inlineStr">
        <is>
          <t>일정 응답 처리</t>
        </is>
      </c>
      <c r="F25" s="3" t="inlineStr">
        <is>
          <t>어르신/가족이 일정을 확인·거절한다.</t>
        </is>
      </c>
      <c r="G25" s="9" t="n">
        <v>3</v>
      </c>
      <c r="H25" s="9" t="n">
        <v>1</v>
      </c>
      <c r="I25" s="9" t="n">
        <v>3</v>
      </c>
    </row>
    <row r="26">
      <c r="A26" s="9" t="n">
        <v>23</v>
      </c>
      <c r="B26" s="9" t="inlineStr">
        <is>
          <t>EO</t>
        </is>
      </c>
      <c r="C26" s="9" t="inlineStr">
        <is>
          <t>GET</t>
        </is>
      </c>
      <c r="D26" s="9" t="inlineStr">
        <is>
          <t>/sync/download</t>
        </is>
      </c>
      <c r="E26" s="3" t="inlineStr">
        <is>
          <t>증분 다운로드(자서전·질문·일정·페르소나)</t>
        </is>
      </c>
      <c r="F26" s="3" t="inlineStr">
        <is>
          <t>챕터 요약·우선순위 질문·일정·단기압축기억을 증분(since 기준)으로 계산해 내려보낸다 — 4개 ILF를 가로지르는 파생 데이터 조합.</t>
        </is>
      </c>
      <c r="G26" s="9" t="n">
        <v>16</v>
      </c>
      <c r="H26" s="9" t="n">
        <v>4</v>
      </c>
      <c r="I26" s="9" t="n">
        <v>7</v>
      </c>
    </row>
    <row r="27">
      <c r="A27" s="9" t="n">
        <v>24</v>
      </c>
      <c r="B27" s="9" t="inlineStr">
        <is>
          <t>EQ</t>
        </is>
      </c>
      <c r="C27" s="9" t="inlineStr">
        <is>
          <t>GET</t>
        </is>
      </c>
      <c r="D27" s="9" t="inlineStr">
        <is>
          <t>/sync/sessions</t>
        </is>
      </c>
      <c r="E27" s="3" t="inlineStr">
        <is>
          <t>동기화 이력 목록 조회(관리자)</t>
        </is>
      </c>
      <c r="F27" s="3" t="inlineStr">
        <is>
          <t>전체/기기별 동기화 이력을 페이지네이션 조회한다.</t>
        </is>
      </c>
      <c r="G27" s="9" t="n">
        <v>8</v>
      </c>
      <c r="H27" s="9" t="n">
        <v>2</v>
      </c>
      <c r="I27" s="9" t="n">
        <v>4</v>
      </c>
    </row>
    <row r="28">
      <c r="A28" s="9" t="n">
        <v>25</v>
      </c>
      <c r="B28" s="9" t="inlineStr">
        <is>
          <t>EQ</t>
        </is>
      </c>
      <c r="C28" s="9" t="inlineStr">
        <is>
          <t>GET</t>
        </is>
      </c>
      <c r="D28" s="9" t="inlineStr">
        <is>
          <t>/sync/sessions/{id}</t>
        </is>
      </c>
      <c r="E28" s="3" t="inlineStr">
        <is>
          <t>업로드 작업 상태 조회</t>
        </is>
      </c>
      <c r="F28" s="3" t="inlineStr">
        <is>
          <t>비동기 업로드 1건의 처리 상태를 조회한다.</t>
        </is>
      </c>
      <c r="G28" s="9" t="n">
        <v>4</v>
      </c>
      <c r="H28" s="9" t="n">
        <v>1</v>
      </c>
      <c r="I28" s="9" t="n">
        <v>3</v>
      </c>
    </row>
    <row r="29">
      <c r="A29" s="9" t="n">
        <v>26</v>
      </c>
      <c r="B29" s="9" t="inlineStr">
        <is>
          <t>EI</t>
        </is>
      </c>
      <c r="C29" s="9" t="inlineStr">
        <is>
          <t>POST</t>
        </is>
      </c>
      <c r="D29" s="9" t="inlineStr">
        <is>
          <t>/sync/upload</t>
        </is>
      </c>
      <c r="E29" s="3" t="inlineStr">
        <is>
          <t>구술 발화·사진 업로드(비동기)</t>
        </is>
      </c>
      <c r="F29" s="3" t="inlineStr">
        <is>
          <t>원본 음성·1차 전사·신규 사진을 접수해 202로 응답하고, 지식화 파이프라인(전사 보정→임베딩→챕터 갱신→질문 생성→페르소나 갱신)을 비동기로 구동한다 — 5개 데이터저장소에 걸친 가장 복잡한 트랜잭션.</t>
        </is>
      </c>
      <c r="G29" s="9" t="n">
        <v>12</v>
      </c>
      <c r="H29" s="9" t="n">
        <v>5</v>
      </c>
      <c r="I29" s="9" t="n">
        <v>6</v>
      </c>
    </row>
    <row r="30">
      <c r="A30" s="9" t="n">
        <v>27</v>
      </c>
      <c r="B30" s="9" t="inlineStr">
        <is>
          <t>EI</t>
        </is>
      </c>
      <c r="C30" s="9" t="inlineStr">
        <is>
          <t>POST</t>
        </is>
      </c>
      <c r="D30" s="9" t="inlineStr">
        <is>
          <t>/users</t>
        </is>
      </c>
      <c r="E30" s="3" t="inlineStr">
        <is>
          <t>어르신 계정 생성</t>
        </is>
      </c>
      <c r="F30" s="3" t="inlineStr">
        <is>
          <t>온보딩 시 1차 사용자 계정을 생성한다(부트스트랩).</t>
        </is>
      </c>
      <c r="G30" s="9" t="n">
        <v>3</v>
      </c>
      <c r="H30" s="9" t="n">
        <v>1</v>
      </c>
      <c r="I30" s="9" t="n">
        <v>3</v>
      </c>
    </row>
    <row r="31">
      <c r="A31" s="9" t="n">
        <v>28</v>
      </c>
      <c r="B31" s="9" t="inlineStr">
        <is>
          <t>EQ</t>
        </is>
      </c>
      <c r="C31" s="9" t="inlineStr">
        <is>
          <t>GET</t>
        </is>
      </c>
      <c r="D31" s="9" t="inlineStr">
        <is>
          <t>/users</t>
        </is>
      </c>
      <c r="E31" s="3" t="inlineStr">
        <is>
          <t>사용자 목록 조회</t>
        </is>
      </c>
      <c r="F31" s="3" t="inlineStr">
        <is>
          <t>전체 사용자를 페이지네이션·이름검색으로 조회한다(admin).</t>
        </is>
      </c>
      <c r="G31" s="9" t="n">
        <v>7</v>
      </c>
      <c r="H31" s="9" t="n">
        <v>1</v>
      </c>
      <c r="I31" s="9" t="n">
        <v>3</v>
      </c>
    </row>
    <row r="32">
      <c r="A32" s="9" t="n">
        <v>29</v>
      </c>
      <c r="B32" s="9" t="inlineStr">
        <is>
          <t>EQ</t>
        </is>
      </c>
      <c r="C32" s="9" t="inlineStr">
        <is>
          <t>GET</t>
        </is>
      </c>
      <c r="D32" s="9" t="inlineStr">
        <is>
          <t>/users/{id}</t>
        </is>
      </c>
      <c r="E32" s="3" t="inlineStr">
        <is>
          <t>사용자 단건 조회</t>
        </is>
      </c>
      <c r="F32" s="3" t="inlineStr">
        <is>
          <t>사용자 1건의 상세를 조회한다.</t>
        </is>
      </c>
      <c r="G32" s="9" t="n">
        <v>7</v>
      </c>
      <c r="H32" s="9" t="n">
        <v>1</v>
      </c>
      <c r="I32" s="9" t="n">
        <v>3</v>
      </c>
    </row>
    <row r="33">
      <c r="A33" s="9" t="n">
        <v>30</v>
      </c>
      <c r="B33" s="9" t="inlineStr">
        <is>
          <t>EQ</t>
        </is>
      </c>
      <c r="C33" s="9" t="inlineStr">
        <is>
          <t>GET</t>
        </is>
      </c>
      <c r="D33" s="9" t="inlineStr">
        <is>
          <t>/users/{id}/chapters</t>
        </is>
      </c>
      <c r="E33" s="3" t="inlineStr">
        <is>
          <t>사용자별 챕터 목록 조회</t>
        </is>
      </c>
      <c r="F33" s="3" t="inlineStr">
        <is>
          <t>특정 어르신의 챕터 전체를 조회한다.</t>
        </is>
      </c>
      <c r="G33" s="9" t="n">
        <v>9</v>
      </c>
      <c r="H33" s="9" t="n">
        <v>1</v>
      </c>
      <c r="I33" s="9" t="n">
        <v>3</v>
      </c>
    </row>
    <row r="34">
      <c r="A34" s="9" t="n">
        <v>31</v>
      </c>
      <c r="B34" s="9" t="inlineStr">
        <is>
          <t>EI</t>
        </is>
      </c>
      <c r="C34" s="9" t="inlineStr">
        <is>
          <t>POST</t>
        </is>
      </c>
      <c r="D34" s="9" t="inlineStr">
        <is>
          <t>/users/{id}/consent-logs</t>
        </is>
      </c>
      <c r="E34" s="3" t="inlineStr">
        <is>
          <t>동의 기록 생성</t>
        </is>
      </c>
      <c r="F34" s="3" t="inlineStr">
        <is>
          <t>개인정보 수집 등 5종 동의/철회 1건을 기록한다.</t>
        </is>
      </c>
      <c r="G34" s="9" t="n">
        <v>4</v>
      </c>
      <c r="H34" s="9" t="n">
        <v>1</v>
      </c>
      <c r="I34" s="9" t="n">
        <v>3</v>
      </c>
    </row>
    <row r="35">
      <c r="A35" s="9" t="n">
        <v>32</v>
      </c>
      <c r="B35" s="9" t="inlineStr">
        <is>
          <t>EQ</t>
        </is>
      </c>
      <c r="C35" s="9" t="inlineStr">
        <is>
          <t>GET</t>
        </is>
      </c>
      <c r="D35" s="9" t="inlineStr">
        <is>
          <t>/users/{id}/consent-logs</t>
        </is>
      </c>
      <c r="E35" s="3" t="inlineStr">
        <is>
          <t>동의 이력 조회</t>
        </is>
      </c>
      <c r="F35" s="3" t="inlineStr">
        <is>
          <t>사용자의 전체 동의 이력을 조회한다.</t>
        </is>
      </c>
      <c r="G35" s="9" t="n">
        <v>6</v>
      </c>
      <c r="H35" s="9" t="n">
        <v>1</v>
      </c>
      <c r="I35" s="9" t="n">
        <v>3</v>
      </c>
    </row>
    <row r="36">
      <c r="A36" s="9" t="n">
        <v>33</v>
      </c>
      <c r="B36" s="9" t="inlineStr">
        <is>
          <t>EO</t>
        </is>
      </c>
      <c r="C36" s="9" t="inlineStr">
        <is>
          <t>GET</t>
        </is>
      </c>
      <c r="D36" s="9" t="inlineStr">
        <is>
          <t>/users/{id}/consent-state</t>
        </is>
      </c>
      <c r="E36" s="3" t="inlineStr">
        <is>
          <t>유형별 현재 동의 상태 산출</t>
        </is>
      </c>
      <c r="F36" s="3" t="inlineStr">
        <is>
          <t>동의 유형별 최신 행을 계산해 '현재 동의 상태'를 파생한다 — 온보딩 게이트·RBAC 조건 판정용.</t>
        </is>
      </c>
      <c r="G36" s="9" t="n">
        <v>5</v>
      </c>
      <c r="H36" s="9" t="n">
        <v>1</v>
      </c>
      <c r="I36" s="9" t="n">
        <v>4</v>
      </c>
    </row>
    <row r="37">
      <c r="A37" s="9" t="n">
        <v>34</v>
      </c>
      <c r="B37" s="9" t="inlineStr">
        <is>
          <t>EQ</t>
        </is>
      </c>
      <c r="C37" s="9" t="inlineStr">
        <is>
          <t>GET</t>
        </is>
      </c>
      <c r="D37" s="9" t="inlineStr">
        <is>
          <t>/users/{id}/conversation-chunks</t>
        </is>
      </c>
      <c r="E37" s="3" t="inlineStr">
        <is>
          <t>사용자별 구술 청크 목록 조회</t>
        </is>
      </c>
      <c r="F37" s="3" t="inlineStr">
        <is>
          <t>특정 어르신의 구술 청크를 조회한다.</t>
        </is>
      </c>
      <c r="G37" s="9" t="n">
        <v>14</v>
      </c>
      <c r="H37" s="9" t="n">
        <v>1</v>
      </c>
      <c r="I37" s="9" t="n">
        <v>3</v>
      </c>
    </row>
    <row r="38">
      <c r="A38" s="9" t="n">
        <v>35</v>
      </c>
      <c r="B38" s="9" t="inlineStr">
        <is>
          <t>EO</t>
        </is>
      </c>
      <c r="C38" s="9" t="inlineStr">
        <is>
          <t>GET</t>
        </is>
      </c>
      <c r="D38" s="9" t="inlineStr">
        <is>
          <t>/users/{id}/conversation-chunks/count</t>
        </is>
      </c>
      <c r="E38" s="3" t="inlineStr">
        <is>
          <t>특정 시각 이후 청크 개수 산출</t>
        </is>
      </c>
      <c r="F38" s="3" t="inlineStr">
        <is>
          <t>PII를 복호화하지 않고 COUNT만 계산 — 가족 대시보드 '오늘 대화' 통계.</t>
        </is>
      </c>
      <c r="G38" s="9" t="n">
        <v>3</v>
      </c>
      <c r="H38" s="9" t="n">
        <v>1</v>
      </c>
      <c r="I38" s="9" t="n">
        <v>4</v>
      </c>
    </row>
    <row r="39">
      <c r="A39" s="9" t="n">
        <v>36</v>
      </c>
      <c r="B39" s="9" t="inlineStr">
        <is>
          <t>EO</t>
        </is>
      </c>
      <c r="C39" s="9" t="inlineStr">
        <is>
          <t>GET</t>
        </is>
      </c>
      <c r="D39" s="9" t="inlineStr">
        <is>
          <t>/users/{id}/conversation-chunks/search</t>
        </is>
      </c>
      <c r="E39" s="3" t="inlineStr">
        <is>
          <t>구술 청크 키워드 검색</t>
        </is>
      </c>
      <c r="F39" s="3" t="inlineStr">
        <is>
          <t>전량 복호화 후 애플리케이션 레벨 부분일치 필터링(임시, RAG 하이브리드 서치로 교체 예정).</t>
        </is>
      </c>
      <c r="G39" s="9" t="n">
        <v>4</v>
      </c>
      <c r="H39" s="9" t="n">
        <v>1</v>
      </c>
      <c r="I39" s="9" t="n">
        <v>4</v>
      </c>
    </row>
    <row r="40">
      <c r="A40" s="9" t="n">
        <v>37</v>
      </c>
      <c r="B40" s="9" t="inlineStr">
        <is>
          <t>EQ</t>
        </is>
      </c>
      <c r="C40" s="9" t="inlineStr">
        <is>
          <t>GET</t>
        </is>
      </c>
      <c r="D40" s="9" t="inlineStr">
        <is>
          <t>/users/{id}/devices</t>
        </is>
      </c>
      <c r="E40" s="3" t="inlineStr">
        <is>
          <t>사용자 기기 조회</t>
        </is>
      </c>
      <c r="F40" s="3" t="inlineStr">
        <is>
          <t>어르신에 연결된 기기 사양·설치모드를 조회한다(admin).</t>
        </is>
      </c>
      <c r="G40" s="9" t="n">
        <v>12</v>
      </c>
      <c r="H40" s="9" t="n">
        <v>1</v>
      </c>
      <c r="I40" s="9" t="n">
        <v>3</v>
      </c>
    </row>
    <row r="41">
      <c r="A41" s="9" t="n">
        <v>38</v>
      </c>
      <c r="B41" s="9" t="inlineStr">
        <is>
          <t>EI</t>
        </is>
      </c>
      <c r="C41" s="9" t="inlineStr">
        <is>
          <t>POST</t>
        </is>
      </c>
      <c r="D41" s="9" t="inlineStr">
        <is>
          <t>/users/{id}/erase</t>
        </is>
      </c>
      <c r="E41" s="3" t="inlineStr">
        <is>
          <t>계정 전체 삭제(erasure)</t>
        </is>
      </c>
      <c r="F41" s="3" t="inlineStr">
        <is>
          <t>정보주체 삭제요청권 행사 — Postgres cascade(crypto-shredding 포함) + Qdrant/Neo4j/MinIO 정리 + 감사로그 기록까지 오케스트레이션하는 되돌릴 수 없는 트랜잭션.</t>
        </is>
      </c>
      <c r="G41" s="9" t="n">
        <v>3</v>
      </c>
      <c r="H41" s="9" t="n">
        <v>5</v>
      </c>
      <c r="I41" s="9" t="n">
        <v>4</v>
      </c>
    </row>
    <row r="42">
      <c r="A42" s="9" t="n">
        <v>39</v>
      </c>
      <c r="B42" s="9" t="inlineStr">
        <is>
          <t>EQ</t>
        </is>
      </c>
      <c r="C42" s="9" t="inlineStr">
        <is>
          <t>GET</t>
        </is>
      </c>
      <c r="D42" s="9" t="inlineStr">
        <is>
          <t>/users/{id}/family-members</t>
        </is>
      </c>
      <c r="E42" s="3" t="inlineStr">
        <is>
          <t>가족 구성원 목록 조회</t>
        </is>
      </c>
      <c r="F42" s="3" t="inlineStr">
        <is>
          <t>어르신에 연결된 가족·복지사 목록을 조회한다.</t>
        </is>
      </c>
      <c r="G42" s="9" t="n">
        <v>7</v>
      </c>
      <c r="H42" s="9" t="n">
        <v>1</v>
      </c>
      <c r="I42" s="9" t="n">
        <v>3</v>
      </c>
    </row>
    <row r="43">
      <c r="A43" s="9" t="n">
        <v>40</v>
      </c>
      <c r="B43" s="9" t="inlineStr">
        <is>
          <t>EI</t>
        </is>
      </c>
      <c r="C43" s="9" t="inlineStr">
        <is>
          <t>POST</t>
        </is>
      </c>
      <c r="D43" s="9" t="inlineStr">
        <is>
          <t>/users/{id}/family-members</t>
        </is>
      </c>
      <c r="E43" s="3" t="inlineStr">
        <is>
          <t>가족 구성원 생성</t>
        </is>
      </c>
      <c r="F43" s="3" t="inlineStr">
        <is>
          <t>가족/복지사 구성원을 신규 등록한다.</t>
        </is>
      </c>
      <c r="G43" s="9" t="n">
        <v>6</v>
      </c>
      <c r="H43" s="9" t="n">
        <v>1</v>
      </c>
      <c r="I43" s="9" t="n">
        <v>3</v>
      </c>
    </row>
    <row r="44">
      <c r="A44" s="9" t="n">
        <v>41</v>
      </c>
      <c r="B44" s="9" t="inlineStr">
        <is>
          <t>EQ</t>
        </is>
      </c>
      <c r="C44" s="9" t="inlineStr">
        <is>
          <t>GET</t>
        </is>
      </c>
      <c r="D44" s="9" t="inlineStr">
        <is>
          <t>/users/{id}/photo-requests</t>
        </is>
      </c>
      <c r="E44" s="3" t="inlineStr">
        <is>
          <t>사진 요청 목록 조회</t>
        </is>
      </c>
      <c r="F44" s="3" t="inlineStr">
        <is>
          <t>어르신에 대한 사진 추가 요청 목록을 조회한다.</t>
        </is>
      </c>
      <c r="G44" s="9" t="n">
        <v>5</v>
      </c>
      <c r="H44" s="9" t="n">
        <v>1</v>
      </c>
      <c r="I44" s="9" t="n">
        <v>3</v>
      </c>
    </row>
    <row r="45">
      <c r="A45" s="9" t="n">
        <v>42</v>
      </c>
      <c r="B45" s="9" t="inlineStr">
        <is>
          <t>EQ</t>
        </is>
      </c>
      <c r="C45" s="9" t="inlineStr">
        <is>
          <t>GET</t>
        </is>
      </c>
      <c r="D45" s="9" t="inlineStr">
        <is>
          <t>/users/{id}/photos</t>
        </is>
      </c>
      <c r="E45" s="3" t="inlineStr">
        <is>
          <t>사진 목록 조회</t>
        </is>
      </c>
      <c r="F45" s="3" t="inlineStr">
        <is>
          <t>어르신의 사진 전체 목록(presigned URL 포함)을 조회한다.</t>
        </is>
      </c>
      <c r="G45" s="9" t="n">
        <v>19</v>
      </c>
      <c r="H45" s="9" t="n">
        <v>1</v>
      </c>
      <c r="I45" s="9" t="n">
        <v>3</v>
      </c>
    </row>
    <row r="46">
      <c r="A46" s="9" t="n">
        <v>43</v>
      </c>
      <c r="B46" s="9" t="inlineStr">
        <is>
          <t>EI</t>
        </is>
      </c>
      <c r="C46" s="9" t="inlineStr">
        <is>
          <t>PUT</t>
        </is>
      </c>
      <c r="D46" s="9" t="inlineStr">
        <is>
          <t>/users/{id}/organization</t>
        </is>
      </c>
      <c r="E46" s="3" t="inlineStr">
        <is>
          <t>시설 배정/해제</t>
        </is>
      </c>
      <c r="F46" s="3" t="inlineStr">
        <is>
          <t>어르신을 B2G 시설에 배정하거나 해제한다 — 존재하는 시설인지 검증 후 반영.</t>
        </is>
      </c>
      <c r="G46" s="9" t="n">
        <v>2</v>
      </c>
      <c r="H46" s="9" t="n">
        <v>2</v>
      </c>
      <c r="I46" s="9" t="n">
        <v>3</v>
      </c>
    </row>
    <row r="47">
      <c r="A47" s="9" t="n">
        <v>44</v>
      </c>
      <c r="B47" s="9" t="inlineStr">
        <is>
          <t>EQ</t>
        </is>
      </c>
      <c r="C47" s="9" t="inlineStr">
        <is>
          <t>GET</t>
        </is>
      </c>
      <c r="D47" s="9" t="inlineStr">
        <is>
          <t>/users/{id}/questions</t>
        </is>
      </c>
      <c r="E47" s="3" t="inlineStr">
        <is>
          <t>회고 질문 큐 조회</t>
        </is>
      </c>
      <c r="F47" s="3" t="inlineStr">
        <is>
          <t>어르신에게 제시할 회고 질문 큐를 조회한다.</t>
        </is>
      </c>
      <c r="G47" s="9" t="n">
        <v>6</v>
      </c>
      <c r="H47" s="9" t="n">
        <v>1</v>
      </c>
      <c r="I47" s="9" t="n">
        <v>3</v>
      </c>
    </row>
    <row r="48">
      <c r="A48" s="9" t="n">
        <v>45</v>
      </c>
      <c r="B48" s="9" t="inlineStr">
        <is>
          <t>EQ</t>
        </is>
      </c>
      <c r="C48" s="9" t="inlineStr">
        <is>
          <t>GET</t>
        </is>
      </c>
      <c r="D48" s="9" t="inlineStr">
        <is>
          <t>/users/{id}/schedule-items</t>
        </is>
      </c>
      <c r="E48" s="3" t="inlineStr">
        <is>
          <t>일정 목록 조회</t>
        </is>
      </c>
      <c r="F48" s="3" t="inlineStr">
        <is>
          <t>어르신의 일정·복약 항목 목록을 조회한다.</t>
        </is>
      </c>
      <c r="G48" s="9" t="n">
        <v>9</v>
      </c>
      <c r="H48" s="9" t="n">
        <v>1</v>
      </c>
      <c r="I48" s="9" t="n">
        <v>3</v>
      </c>
    </row>
    <row r="49">
      <c r="A49" s="9" t="n">
        <v>46</v>
      </c>
      <c r="B49" s="9" t="inlineStr">
        <is>
          <t>EI</t>
        </is>
      </c>
      <c r="C49" s="9" t="inlineStr">
        <is>
          <t>POST</t>
        </is>
      </c>
      <c r="D49" s="9" t="inlineStr">
        <is>
          <t>/users/{id}/schedule-items</t>
        </is>
      </c>
      <c r="E49" s="3" t="inlineStr">
        <is>
          <t>일정 항목 생성</t>
        </is>
      </c>
      <c r="F49" s="3" t="inlineStr">
        <is>
          <t>가족이 일정/복약 항목을 신규 등록한다.</t>
        </is>
      </c>
      <c r="G49" s="9" t="n">
        <v>9</v>
      </c>
      <c r="H49" s="9" t="n">
        <v>1</v>
      </c>
      <c r="I49" s="9" t="n">
        <v>3</v>
      </c>
    </row>
    <row r="51">
      <c r="A51" s="10" t="inlineStr">
        <is>
          <t>구분별 합계</t>
        </is>
      </c>
    </row>
    <row r="52">
      <c r="A52" s="6" t="inlineStr">
        <is>
          <t>EI</t>
        </is>
      </c>
      <c r="B52" s="7" t="inlineStr">
        <is>
          <t>20건</t>
        </is>
      </c>
      <c r="I52" s="6" t="n">
        <v>67</v>
      </c>
    </row>
    <row r="53">
      <c r="A53" s="6" t="inlineStr">
        <is>
          <t>EO</t>
        </is>
      </c>
      <c r="B53" s="7" t="inlineStr">
        <is>
          <t>4건</t>
        </is>
      </c>
      <c r="I53" s="6" t="n">
        <v>19</v>
      </c>
    </row>
    <row r="54">
      <c r="A54" s="6" t="inlineStr">
        <is>
          <t>EQ</t>
        </is>
      </c>
      <c r="B54" s="7" t="inlineStr">
        <is>
          <t>22건</t>
        </is>
      </c>
      <c r="I54" s="6" t="n">
        <v>67</v>
      </c>
    </row>
  </sheetData>
  <mergeCells count="2">
    <mergeCell ref="A1:I1"/>
    <mergeCell ref="A51:I5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22" customWidth="1" min="3" max="3"/>
    <col width="26" customWidth="1" min="4" max="4"/>
    <col width="7" customWidth="1" min="5" max="5"/>
    <col width="7" customWidth="1" min="6" max="6"/>
    <col width="10" customWidth="1" min="7" max="7"/>
    <col width="11" customWidth="1" min="8" max="8"/>
  </cols>
  <sheetData>
    <row r="1" ht="28" customHeight="1">
      <c r="A1" s="1" t="inlineStr">
        <is>
          <t>모바일 온디바이스 내부논리파일(ILF) 목록</t>
        </is>
      </c>
    </row>
    <row r="2" ht="4" customHeight="1"/>
    <row r="3">
      <c r="A3" s="8" t="inlineStr">
        <is>
          <t>No</t>
        </is>
      </c>
      <c r="B3" s="8" t="inlineStr">
        <is>
          <t>구분</t>
        </is>
      </c>
      <c r="C3" s="8" t="inlineStr">
        <is>
          <t>논리파일명</t>
        </is>
      </c>
      <c r="D3" s="8" t="inlineStr">
        <is>
          <t>대응 테이블/저장소</t>
        </is>
      </c>
      <c r="E3" s="8" t="inlineStr">
        <is>
          <t>DET</t>
        </is>
      </c>
      <c r="F3" s="8" t="inlineStr">
        <is>
          <t>RET</t>
        </is>
      </c>
      <c r="G3" s="8" t="inlineStr">
        <is>
          <t>복잡도</t>
        </is>
      </c>
      <c r="H3" s="8" t="inlineStr">
        <is>
          <t>가중치(FP)</t>
        </is>
      </c>
    </row>
    <row r="4">
      <c r="A4" s="9" t="n">
        <v>1</v>
      </c>
      <c r="B4" s="9" t="inlineStr">
        <is>
          <t>ILF</t>
        </is>
      </c>
      <c r="C4" s="3" t="inlineStr">
        <is>
          <t>구술 대화 로컬 버퍼</t>
        </is>
      </c>
      <c r="D4" s="3" t="inlineStr">
        <is>
          <t>conversations</t>
        </is>
      </c>
      <c r="E4" s="9" t="n">
        <v>11</v>
      </c>
      <c r="F4" s="9" t="n">
        <v>1</v>
      </c>
      <c r="G4" s="9" t="inlineStr">
        <is>
          <t>Low</t>
        </is>
      </c>
      <c r="H4" s="9" t="n">
        <v>7</v>
      </c>
    </row>
    <row r="5">
      <c r="A5" s="9" t="n">
        <v>2</v>
      </c>
      <c r="B5" s="9" t="inlineStr">
        <is>
          <t>ILF</t>
        </is>
      </c>
      <c r="C5" s="3" t="inlineStr">
        <is>
          <t>자서전 로컬 검색 인덱스</t>
        </is>
      </c>
      <c r="D5" s="3" t="inlineStr">
        <is>
          <t>autobiography_fts (FTS5)</t>
        </is>
      </c>
      <c r="E5" s="9" t="n">
        <v>5</v>
      </c>
      <c r="F5" s="9" t="n">
        <v>1</v>
      </c>
      <c r="G5" s="9" t="inlineStr">
        <is>
          <t>Low</t>
        </is>
      </c>
      <c r="H5" s="9" t="n">
        <v>7</v>
      </c>
    </row>
    <row r="6">
      <c r="A6" s="9" t="n">
        <v>3</v>
      </c>
      <c r="B6" s="9" t="inlineStr">
        <is>
          <t>ILF</t>
        </is>
      </c>
      <c r="C6" s="3" t="inlineStr">
        <is>
          <t>회고 질문 로컬 캐시</t>
        </is>
      </c>
      <c r="D6" s="3" t="inlineStr">
        <is>
          <t>questions_cache</t>
        </is>
      </c>
      <c r="E6" s="9" t="n">
        <v>6</v>
      </c>
      <c r="F6" s="9" t="n">
        <v>1</v>
      </c>
      <c r="G6" s="9" t="inlineStr">
        <is>
          <t>Low</t>
        </is>
      </c>
      <c r="H6" s="9" t="n">
        <v>7</v>
      </c>
    </row>
    <row r="7">
      <c r="A7" s="9" t="n">
        <v>4</v>
      </c>
      <c r="B7" s="9" t="inlineStr">
        <is>
          <t>ILF</t>
        </is>
      </c>
      <c r="C7" s="3" t="inlineStr">
        <is>
          <t>미회고 사진 로컬 큐</t>
        </is>
      </c>
      <c r="D7" s="3" t="inlineStr">
        <is>
          <t>unrecalled_photos</t>
        </is>
      </c>
      <c r="E7" s="9" t="n">
        <v>4</v>
      </c>
      <c r="F7" s="9" t="n">
        <v>1</v>
      </c>
      <c r="G7" s="9" t="inlineStr">
        <is>
          <t>Low</t>
        </is>
      </c>
      <c r="H7" s="9" t="n">
        <v>7</v>
      </c>
    </row>
    <row r="8">
      <c r="A8" s="9" t="n">
        <v>5</v>
      </c>
      <c r="B8" s="9" t="inlineStr">
        <is>
          <t>ILF</t>
        </is>
      </c>
      <c r="C8" s="3" t="inlineStr">
        <is>
          <t>일정 로컬 캐시</t>
        </is>
      </c>
      <c r="D8" s="3" t="inlineStr">
        <is>
          <t>schedule_cache</t>
        </is>
      </c>
      <c r="E8" s="9" t="n">
        <v>8</v>
      </c>
      <c r="F8" s="9" t="n">
        <v>1</v>
      </c>
      <c r="G8" s="9" t="inlineStr">
        <is>
          <t>Low</t>
        </is>
      </c>
      <c r="H8" s="9" t="n">
        <v>7</v>
      </c>
    </row>
    <row r="9">
      <c r="A9" s="9" t="n">
        <v>6</v>
      </c>
      <c r="B9" s="9" t="inlineStr">
        <is>
          <t>ILF</t>
        </is>
      </c>
      <c r="C9" s="3" t="inlineStr">
        <is>
          <t>기기 상태</t>
        </is>
      </c>
      <c r="D9" s="3" t="inlineStr">
        <is>
          <t>device_state</t>
        </is>
      </c>
      <c r="E9" s="9" t="n">
        <v>10</v>
      </c>
      <c r="F9" s="9" t="n">
        <v>1</v>
      </c>
      <c r="G9" s="9" t="inlineStr">
        <is>
          <t>Low</t>
        </is>
      </c>
      <c r="H9" s="9" t="n">
        <v>7</v>
      </c>
    </row>
    <row r="11">
      <c r="A11" s="10" t="inlineStr">
        <is>
          <t>상세 설명</t>
        </is>
      </c>
    </row>
    <row r="12" ht="28" customHeight="1">
      <c r="A12" s="5" t="inlineStr">
        <is>
          <t>1. 구술 대화 로컬 버퍼 (conversations) — 서버 conversation_chunks의 로컬 버퍼 — 오프라인 상태에서도 대화 턴을 즉시 로컬에 적재한다. 업로드 성공 시 원본 오디오만 삭제, 텍스트는 5일 롤링 윈도우 유지.</t>
        </is>
      </c>
    </row>
    <row r="13" ht="28" customHeight="1">
      <c r="A13" s="5" t="inlineStr">
        <is>
          <t>2. 자서전 로컬 검색 인덱스 (autobiography_fts (FTS5)) — Zero-Neural RAG의 핵심 — 임베딩 모델 없이 SQLite FTS5(BM25) 키워드 검색만으로 오프라인 회상 검색을 수행한다.</t>
        </is>
      </c>
    </row>
    <row r="14" ht="28" customHeight="1">
      <c r="A14" s="5" t="inlineStr">
        <is>
          <t>3. 회고 질문 로컬 캐시 (questions_cache) — 서버 questions의 서브셋 — 동기화로 갱신되는 우선순위 회고 질문 큐.</t>
        </is>
      </c>
    </row>
    <row r="15" ht="28" customHeight="1">
      <c r="A15" s="5" t="inlineStr">
        <is>
          <t>4. 미회고 사진 로컬 큐 (unrecalled_photos) — 회고 대상 사진(recall_status=pending) 서브셋 — 대화 세션 시작 시 최우선 제시.</t>
        </is>
      </c>
    </row>
    <row r="16" ht="28" customHeight="1">
      <c r="A16" s="5" t="inlineStr">
        <is>
          <t>5. 일정 로컬 캐시 (schedule_cache) — 서버 schedule_items 서브셋 + 오프라인 등록분(origin=local, 다음 동기화 시 서버 반영).</t>
        </is>
      </c>
    </row>
    <row r="17" ht="28" customHeight="1">
      <c r="A17" s="5" t="inlineStr">
        <is>
          <t>6. 기기 상태 (device_state) — 설치 시 1회 결정되는 설치모드·SLM버전·최종 동기화 커서·페르소나 스냅샷 등 단일 행 기기 로컬 상태.</t>
        </is>
      </c>
    </row>
    <row r="19">
      <c r="A19" s="11" t="inlineStr">
        <is>
          <t>합계</t>
        </is>
      </c>
      <c r="G19" s="11" t="n">
        <v>6</v>
      </c>
      <c r="H19" s="11">
        <f>SUM(H4:H9)</f>
        <v/>
      </c>
    </row>
  </sheetData>
  <mergeCells count="9">
    <mergeCell ref="A12:H12"/>
    <mergeCell ref="A15:H15"/>
    <mergeCell ref="A19:F19"/>
    <mergeCell ref="A16:H16"/>
    <mergeCell ref="A13:H13"/>
    <mergeCell ref="A11:H11"/>
    <mergeCell ref="A14:H14"/>
    <mergeCell ref="A1:H1"/>
    <mergeCell ref="A17:H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26" customWidth="1" min="3" max="3"/>
    <col width="55" customWidth="1" min="4" max="4"/>
    <col width="6" customWidth="1" min="5" max="5"/>
    <col width="6" customWidth="1" min="6" max="6"/>
    <col width="11" customWidth="1" min="7" max="7"/>
  </cols>
  <sheetData>
    <row r="1" ht="28" customHeight="1">
      <c r="A1" s="1" t="inlineStr">
        <is>
          <t>모바일 온디바이스 트랜잭션 기능(EI/EO/EQ) 목록</t>
        </is>
      </c>
    </row>
    <row r="2" ht="4" customHeight="1"/>
    <row r="3">
      <c r="A3" s="8" t="inlineStr">
        <is>
          <t>No</t>
        </is>
      </c>
      <c r="B3" s="8" t="inlineStr">
        <is>
          <t>구분</t>
        </is>
      </c>
      <c r="C3" s="8" t="inlineStr">
        <is>
          <t>기능명</t>
        </is>
      </c>
      <c r="D3" s="8" t="inlineStr">
        <is>
          <t>상세 설명</t>
        </is>
      </c>
      <c r="E3" s="8" t="inlineStr">
        <is>
          <t>DET</t>
        </is>
      </c>
      <c r="F3" s="8" t="inlineStr">
        <is>
          <t>FTR</t>
        </is>
      </c>
      <c r="G3" s="8" t="inlineStr">
        <is>
          <t>가중치(FP)</t>
        </is>
      </c>
    </row>
    <row r="4">
      <c r="A4" s="9" t="n">
        <v>1</v>
      </c>
      <c r="B4" s="9" t="inlineStr">
        <is>
          <t>EI</t>
        </is>
      </c>
      <c r="C4" s="3" t="inlineStr">
        <is>
          <t>오프라인 대화 턴 로컬 기록</t>
        </is>
      </c>
      <c r="D4" s="3" t="inlineStr">
        <is>
          <t>인터넷 연결 여부와 무관하게 온디바이스 STT/SLM 대화 턴을 즉시 로컬 DB에 적재한다 (오프라인 우선 원칙의 핵심 기능).</t>
        </is>
      </c>
      <c r="E4" s="9" t="n">
        <v>8</v>
      </c>
      <c r="F4" s="9" t="n">
        <v>1</v>
      </c>
      <c r="G4" s="9" t="n">
        <v>3</v>
      </c>
    </row>
    <row r="5">
      <c r="A5" s="9" t="n">
        <v>2</v>
      </c>
      <c r="B5" s="9" t="inlineStr">
        <is>
          <t>EI</t>
        </is>
      </c>
      <c r="C5" s="3" t="inlineStr">
        <is>
          <t>온보딩 완료 처리(기기 로컬 상태 등록)</t>
        </is>
      </c>
      <c r="D5" s="3" t="inlineStr">
        <is>
          <t>이름 입력→동의→서버 3연쇄 호출 완료 후, 발급받은 device_id·install_mode를 기기 로컬 상태에 최초로 기록한다.</t>
        </is>
      </c>
      <c r="E5" s="9" t="n">
        <v>4</v>
      </c>
      <c r="F5" s="9" t="n">
        <v>1</v>
      </c>
      <c r="G5" s="9" t="n">
        <v>3</v>
      </c>
    </row>
    <row r="6">
      <c r="A6" s="9" t="n">
        <v>3</v>
      </c>
      <c r="B6" s="9" t="inlineStr">
        <is>
          <t>EI</t>
        </is>
      </c>
      <c r="C6" s="3" t="inlineStr">
        <is>
          <t>설치모드 적용(키오스크 잠금)</t>
        </is>
      </c>
      <c r="D6" s="3" t="inlineStr">
        <is>
          <t>device_state.install_mode가 kiosk이면 Device Owner Mode 기반 lockTask를 적용해 단일 앱 잠금 상태로 전환한다.</t>
        </is>
      </c>
      <c r="E6" s="9" t="n">
        <v>2</v>
      </c>
      <c r="F6" s="9" t="n">
        <v>1</v>
      </c>
      <c r="G6" s="9" t="n">
        <v>3</v>
      </c>
    </row>
    <row r="7">
      <c r="A7" s="9" t="n">
        <v>4</v>
      </c>
      <c r="B7" s="9" t="inlineStr">
        <is>
          <t>EI</t>
        </is>
      </c>
      <c r="C7" s="3" t="inlineStr">
        <is>
          <t>오프라인 일정 응답 로컬 반영</t>
        </is>
      </c>
      <c r="D7" s="3" t="inlineStr">
        <is>
          <t>네트워크 단절 상태에서 어르신이 일정을 확인/거절하면 로컬에 즉시 반영(origin=local)하고 다음 동기화 때 서버에 병합한다.</t>
        </is>
      </c>
      <c r="E7" s="9" t="n">
        <v>4</v>
      </c>
      <c r="F7" s="9" t="n">
        <v>1</v>
      </c>
      <c r="G7" s="9" t="n">
        <v>3</v>
      </c>
    </row>
    <row r="8">
      <c r="A8" s="9" t="n">
        <v>5</v>
      </c>
      <c r="B8" s="9" t="inlineStr">
        <is>
          <t>EI</t>
        </is>
      </c>
      <c r="C8" s="3" t="inlineStr">
        <is>
          <t>업로드 성공 후 원본음성 로컬 삭제</t>
        </is>
      </c>
      <c r="D8" s="3" t="inlineStr">
        <is>
          <t>서버 200 OK 확인 즉시 로컬 Opus 원본 파일을 삭제하고 동기화 상태를 SYNCED로 갱신한다 (decisions.md #30).</t>
        </is>
      </c>
      <c r="E8" s="9" t="n">
        <v>3</v>
      </c>
      <c r="F8" s="9" t="n">
        <v>1</v>
      </c>
      <c r="G8" s="9" t="n">
        <v>3</v>
      </c>
    </row>
    <row r="9">
      <c r="A9" s="9" t="n">
        <v>6</v>
      </c>
      <c r="B9" s="9" t="inlineStr">
        <is>
          <t>EI</t>
        </is>
      </c>
      <c r="C9" s="3" t="inlineStr">
        <is>
          <t>보유기간 경과 대화 자동 정리 배치</t>
        </is>
      </c>
      <c r="D9" s="3" t="inlineStr">
        <is>
          <t>매일 자정, 생성 후 5일(잠정)이 경과한 로컬 대화 버퍼 행을 삭제하는 보존정책 배치 (decisions.md #9).</t>
        </is>
      </c>
      <c r="E9" s="9" t="n">
        <v>2</v>
      </c>
      <c r="F9" s="9" t="n">
        <v>1</v>
      </c>
      <c r="G9" s="9" t="n">
        <v>3</v>
      </c>
    </row>
    <row r="10">
      <c r="A10" s="9" t="n">
        <v>7</v>
      </c>
      <c r="B10" s="9" t="inlineStr">
        <is>
          <t>EI</t>
        </is>
      </c>
      <c r="C10" s="3" t="inlineStr">
        <is>
          <t>동기화 다운로드 응답 로컬 반영</t>
        </is>
      </c>
      <c r="D10" s="3" t="inlineStr">
        <is>
          <t>GET /sync/download 응답을 받아 자서전 검색색인·질문캐시·미회고사진큐·일정캐시 4개 로컬 저장소를 한 트랜잭션으로 Upsert한다.</t>
        </is>
      </c>
      <c r="E10" s="9" t="n">
        <v>10</v>
      </c>
      <c r="F10" s="9" t="n">
        <v>4</v>
      </c>
      <c r="G10" s="9" t="n">
        <v>6</v>
      </c>
    </row>
    <row r="11">
      <c r="A11" s="9" t="n">
        <v>8</v>
      </c>
      <c r="B11" s="9" t="inlineStr">
        <is>
          <t>EQ</t>
        </is>
      </c>
      <c r="C11" s="3" t="inlineStr">
        <is>
          <t>로컬 FTS5 키워드 회상 검색</t>
        </is>
      </c>
      <c r="D11" s="3" t="inlineStr">
        <is>
          <t>임베딩 연산 없이 SQLite FTS5(BM25)만으로 자서전 청크를 인출하는 온디바이스 Zero-Neural RAG 검색.</t>
        </is>
      </c>
      <c r="E11" s="9" t="n">
        <v>3</v>
      </c>
      <c r="F11" s="9" t="n">
        <v>1</v>
      </c>
      <c r="G11" s="9" t="n">
        <v>3</v>
      </c>
    </row>
    <row r="12">
      <c r="A12" s="9" t="n">
        <v>9</v>
      </c>
      <c r="B12" s="9" t="inlineStr">
        <is>
          <t>EQ</t>
        </is>
      </c>
      <c r="C12" s="3" t="inlineStr">
        <is>
          <t>미회고 사진 큐 조회</t>
        </is>
      </c>
      <c r="D12" s="3" t="inlineStr">
        <is>
          <t>대화 세션 시작 시 제시할 미회고 사진 목록을 로컬에서 조회한다.</t>
        </is>
      </c>
      <c r="E12" s="9" t="n">
        <v>4</v>
      </c>
      <c r="F12" s="9" t="n">
        <v>1</v>
      </c>
      <c r="G12" s="9" t="n">
        <v>3</v>
      </c>
    </row>
    <row r="13">
      <c r="A13" s="9" t="n">
        <v>10</v>
      </c>
      <c r="B13" s="9" t="inlineStr">
        <is>
          <t>EQ</t>
        </is>
      </c>
      <c r="C13" s="3" t="inlineStr">
        <is>
          <t>회고 질문 큐 조회</t>
        </is>
      </c>
      <c r="D13" s="3" t="inlineStr">
        <is>
          <t>다음 질문할 우선순위 회고 질문을 로컬 캐시에서 조회한다.</t>
        </is>
      </c>
      <c r="E13" s="9" t="n">
        <v>6</v>
      </c>
      <c r="F13" s="9" t="n">
        <v>1</v>
      </c>
      <c r="G13" s="9" t="n">
        <v>3</v>
      </c>
    </row>
    <row r="14">
      <c r="A14" s="9" t="n">
        <v>11</v>
      </c>
      <c r="B14" s="9" t="inlineStr">
        <is>
          <t>EQ</t>
        </is>
      </c>
      <c r="C14" s="3" t="inlineStr">
        <is>
          <t>앱 시작 게이트 판정</t>
        </is>
      </c>
      <c r="D14" s="3" t="inlineStr">
        <is>
          <t>device_state.device_id 존재 여부로 온보딩 스킵/최초 동기화/바로 홈 중 시작 목적지를 판정한다.</t>
        </is>
      </c>
      <c r="E14" s="9" t="n">
        <v>2</v>
      </c>
      <c r="F14" s="9" t="n">
        <v>1</v>
      </c>
      <c r="G14" s="9" t="n">
        <v>3</v>
      </c>
    </row>
    <row r="15">
      <c r="A15" s="9" t="n">
        <v>12</v>
      </c>
      <c r="B15" s="9" t="inlineStr">
        <is>
          <t>EQ</t>
        </is>
      </c>
      <c r="C15" s="3" t="inlineStr">
        <is>
          <t>일정·복약 로컬 목록 조회</t>
        </is>
      </c>
      <c r="D15" s="3" t="inlineStr">
        <is>
          <t>오늘의 일정·복약 항목을 로컬 캐시에서 조회한다.</t>
        </is>
      </c>
      <c r="E15" s="9" t="n">
        <v>8</v>
      </c>
      <c r="F15" s="9" t="n">
        <v>1</v>
      </c>
      <c r="G15" s="9" t="n">
        <v>3</v>
      </c>
    </row>
    <row r="16">
      <c r="A16" s="9" t="n">
        <v>13</v>
      </c>
      <c r="B16" s="9" t="inlineStr">
        <is>
          <t>EO</t>
        </is>
      </c>
      <c r="C16" s="3" t="inlineStr">
        <is>
          <t>홈 화면 통계 집계</t>
        </is>
      </c>
      <c r="D16" s="3" t="inlineStr">
        <is>
          <t>완성 챕터 수·연속 대화일수·미회고 사진 수를 3개 로컬 저장소(autobiography_fts, conversations, unrecalled_photos)를 가로질러 집계해 산출한다.</t>
        </is>
      </c>
      <c r="E16" s="9" t="n">
        <v>3</v>
      </c>
      <c r="F16" s="9" t="n">
        <v>3</v>
      </c>
      <c r="G16" s="9" t="n">
        <v>4</v>
      </c>
    </row>
    <row r="18">
      <c r="A18" s="10" t="inlineStr">
        <is>
          <t>구분별 합계</t>
        </is>
      </c>
    </row>
    <row r="19">
      <c r="A19" s="6" t="inlineStr">
        <is>
          <t>EI</t>
        </is>
      </c>
      <c r="B19" s="7" t="inlineStr">
        <is>
          <t>7건</t>
        </is>
      </c>
      <c r="G19" s="6" t="n">
        <v>24</v>
      </c>
    </row>
    <row r="20">
      <c r="A20" s="6" t="inlineStr">
        <is>
          <t>EO</t>
        </is>
      </c>
      <c r="B20" s="7" t="inlineStr">
        <is>
          <t>1건</t>
        </is>
      </c>
      <c r="G20" s="6" t="n">
        <v>4</v>
      </c>
    </row>
    <row r="21">
      <c r="A21" s="6" t="inlineStr">
        <is>
          <t>EQ</t>
        </is>
      </c>
      <c r="B21" s="7" t="inlineStr">
        <is>
          <t>5건</t>
        </is>
      </c>
      <c r="G21" s="6" t="n">
        <v>15</v>
      </c>
    </row>
  </sheetData>
  <mergeCells count="2">
    <mergeCell ref="A1:G1"/>
    <mergeCell ref="A18:G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60" customWidth="1" min="3" max="3"/>
  </cols>
  <sheetData>
    <row r="1" ht="28" customHeight="1">
      <c r="A1" s="1" t="inlineStr">
        <is>
          <t>일반시스템특성(GSC) 평가 및 보정계수(VAF) 산정</t>
        </is>
      </c>
    </row>
    <row r="2" ht="4" customHeight="1"/>
    <row r="3">
      <c r="A3" s="8" t="inlineStr">
        <is>
          <t>일반시스템특성(General System Characteristics)</t>
        </is>
      </c>
      <c r="B3" s="8" t="inlineStr">
        <is>
          <t>영향도(0~5)</t>
        </is>
      </c>
      <c r="C3" s="8" t="inlineStr">
        <is>
          <t>산정 근거</t>
        </is>
      </c>
    </row>
    <row r="4">
      <c r="A4" s="3" t="inlineStr">
        <is>
          <t>데이터 통신(Data Communications)</t>
        </is>
      </c>
      <c r="B4" s="9" t="n">
        <v>4</v>
      </c>
      <c r="C4" s="3" t="inlineStr">
        <is>
          <t>Wi-Fi 등록망 한정 배치 동기화(REST, TLS) — 실시간 스트리밍은 아니나 다자간(모바일↔서버) 통신이 핵심 아키텍처.</t>
        </is>
      </c>
    </row>
    <row r="5">
      <c r="A5" s="3" t="inlineStr">
        <is>
          <t>분산 데이터 처리(Distributed Data Processing)</t>
        </is>
      </c>
      <c r="B5" s="9" t="n">
        <v>5</v>
      </c>
      <c r="C5" s="3" t="inlineStr">
        <is>
          <t>온디바이스(오프라인 우선)-온프레미스 서버 하이브리드로 처리가 명확히 분산 — 동일 기능을 양쪽에서 독립 구현(모바일 FTS5 vs 서버 Qdrant 하이브리드서치).</t>
        </is>
      </c>
    </row>
    <row r="6">
      <c r="A6" s="3" t="inlineStr">
        <is>
          <t>성능(Performance)</t>
        </is>
      </c>
      <c r="B6" s="9" t="n">
        <v>4</v>
      </c>
      <c r="C6" s="3" t="inlineStr">
        <is>
          <t>실시간 대화 응답속도 목표치 명시(VAD 800ms, 문장단위 스트리밍 TTS 등, 저사양 단말 제약 하 성능 최적화 요구 큼).</t>
        </is>
      </c>
    </row>
    <row r="7">
      <c r="A7" s="3" t="inlineStr">
        <is>
          <t>과부하 운영환경(Heavily Used Configuration)</t>
        </is>
      </c>
      <c r="B7" s="9" t="n">
        <v>3</v>
      </c>
      <c r="C7" s="3" t="inlineStr">
        <is>
          <t>RAM 4GB급 저사양·재활용 키오스크 단말 대응이 요구사항.</t>
        </is>
      </c>
    </row>
    <row r="8">
      <c r="A8" s="3" t="inlineStr">
        <is>
          <t>트랜잭션 처리율(Transaction Rate)</t>
        </is>
      </c>
      <c r="B8" s="9" t="n">
        <v>2</v>
      </c>
      <c r="C8" s="3" t="inlineStr">
        <is>
          <t>동시 대량 트랜잭션 요구는 낮음(개인/소규모 시설 단위 사용).</t>
        </is>
      </c>
    </row>
    <row r="9">
      <c r="A9" s="3" t="inlineStr">
        <is>
          <t>온라인 데이터 입력(Online Data Entry)</t>
        </is>
      </c>
      <c r="B9" s="9" t="n">
        <v>5</v>
      </c>
      <c r="C9" s="3" t="inlineStr">
        <is>
          <t>구술 대화·사진 업로드·동의·감수 등 대부분 기능이 온라인 실시간 입력 기반.</t>
        </is>
      </c>
    </row>
    <row r="10">
      <c r="A10" s="3" t="inlineStr">
        <is>
          <t>최종사용자 효율성(End-User Efficiency)</t>
        </is>
      </c>
      <c r="B10" s="9" t="n">
        <v>4</v>
      </c>
      <c r="C10" s="3" t="inlineStr">
        <is>
          <t>고령자 접근성(BODY 20px 등 최소기준), 원터치 마이크 응답 등 최종사용자 효율 요구 높음.</t>
        </is>
      </c>
    </row>
    <row r="11">
      <c r="A11" s="3" t="inlineStr">
        <is>
          <t>온라인 갱신(Online Update)</t>
        </is>
      </c>
      <c r="B11" s="9" t="n">
        <v>4</v>
      </c>
      <c r="C11" s="3" t="inlineStr">
        <is>
          <t>챕터 감수, 동의 기록, 사진 배치, 일정 응답 등 대부분 온라인 즉시 갱신.</t>
        </is>
      </c>
    </row>
    <row r="12">
      <c r="A12" s="3" t="inlineStr">
        <is>
          <t>복잡한 처리(Complex Processing)</t>
        </is>
      </c>
      <c r="B12" s="9" t="n">
        <v>5</v>
      </c>
      <c r="C12" s="3" t="inlineStr">
        <is>
          <t>RAG 하이브리드 서치·지식그래프·LLM 챕터 생성/Compaction/Critic 평가·PII 필드 암호화· crypto-shredding 등 처리 로직이 매우 복잡.</t>
        </is>
      </c>
    </row>
    <row r="13">
      <c r="A13" s="3" t="inlineStr">
        <is>
          <t>재사용성(Reusability)</t>
        </is>
      </c>
      <c r="B13" s="9" t="n">
        <v>3</v>
      </c>
      <c r="C13" s="3" t="inlineStr">
        <is>
          <t>모듈러 모놀리스 + 4계층(api/application/domain/infrastructure) 패턴을 도메인 모듈 단위로 반복해 재사용성을 설계에 반영.</t>
        </is>
      </c>
    </row>
    <row r="14">
      <c r="A14" s="3" t="inlineStr">
        <is>
          <t>설치 용이성(Installation Ease)</t>
        </is>
      </c>
      <c r="B14" s="9" t="n">
        <v>3</v>
      </c>
      <c r="C14" s="3" t="inlineStr">
        <is>
          <t>설치모드(키오스크/일반) 자동 분기, Device Owner 자동 잠금 등 설치 자동화 수준 보통 이상.</t>
        </is>
      </c>
    </row>
    <row r="15">
      <c r="A15" s="3" t="inlineStr">
        <is>
          <t>운영 용이성(Operational Ease)</t>
        </is>
      </c>
      <c r="B15" s="9" t="n">
        <v>4</v>
      </c>
      <c r="C15" s="3" t="inlineStr">
        <is>
          <t>self-hosted 관측 스택(GlitchTip+Prometheus+Grafana+Loki), 자동 백업, 헬스체크 등 운영 편의 기능 충실.</t>
        </is>
      </c>
    </row>
    <row r="16">
      <c r="A16" s="3" t="inlineStr">
        <is>
          <t>다중 사이트(Multiple Sites)</t>
        </is>
      </c>
      <c r="B16" s="9" t="n">
        <v>3</v>
      </c>
      <c r="C16" s="3" t="inlineStr">
        <is>
          <t>B2C 개인 사용자 + B2G 시설(요양원·복지관) 다중 환경, 시설 테넌시 안전망 존재.</t>
        </is>
      </c>
    </row>
    <row r="17">
      <c r="A17" s="3" t="inlineStr">
        <is>
          <t>변경 용이성(Facilitate Change)</t>
        </is>
      </c>
      <c r="B17" s="9" t="n">
        <v>4</v>
      </c>
      <c r="C17" s="3" t="inlineStr">
        <is>
          <t>import-linter로 모듈 경계를 CI에서 강제, 신규 카테고리/정책을 코드 배포 없이 DB 설정으로 조정 가능하게 설계(retention_policies 등).</t>
        </is>
      </c>
    </row>
    <row r="19">
      <c r="A19" s="10" t="inlineStr">
        <is>
          <t>총점(TDI, Total Degree of Influence)</t>
        </is>
      </c>
      <c r="C19" s="10">
        <f>SUM(B4:B17)</f>
        <v/>
      </c>
    </row>
    <row r="20">
      <c r="A20" s="12" t="inlineStr">
        <is>
          <t>보정계수 VAF = 0.65 + (TDI × 0.01)</t>
        </is>
      </c>
      <c r="C20" s="13">
        <f>0.65+(C19*0.01)</f>
        <v/>
      </c>
    </row>
  </sheetData>
  <mergeCells count="3">
    <mergeCell ref="A1:C1"/>
    <mergeCell ref="A20:B20"/>
    <mergeCell ref="A19:B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0" customWidth="1" min="3" max="3"/>
    <col width="16" customWidth="1" min="4" max="4"/>
  </cols>
  <sheetData>
    <row r="1" ht="28" customHeight="1">
      <c r="A1" s="1" t="inlineStr">
        <is>
          <t>기능점수(FP) 집계</t>
        </is>
      </c>
    </row>
    <row r="2" ht="4" customHeight="1"/>
    <row r="3">
      <c r="A3" s="8" t="inlineStr">
        <is>
          <t>구분</t>
        </is>
      </c>
      <c r="B3" s="8" t="inlineStr">
        <is>
          <t>출처 시트</t>
        </is>
      </c>
      <c r="C3" s="8" t="inlineStr">
        <is>
          <t>건수</t>
        </is>
      </c>
      <c r="D3" s="8" t="inlineStr">
        <is>
          <t>미조정 FP(UFP)</t>
        </is>
      </c>
    </row>
    <row r="4">
      <c r="A4" s="9" t="inlineStr">
        <is>
          <t>서버 ILF</t>
        </is>
      </c>
      <c r="B4" s="9" t="inlineStr">
        <is>
          <t>ILF_서버</t>
        </is>
      </c>
      <c r="C4" s="9" t="n">
        <v>22</v>
      </c>
      <c r="D4" s="9" t="n">
        <v>157</v>
      </c>
    </row>
    <row r="5">
      <c r="A5" s="9" t="inlineStr">
        <is>
          <t>서버 EIF</t>
        </is>
      </c>
      <c r="B5" s="9" t="inlineStr">
        <is>
          <t>EIF_서버</t>
        </is>
      </c>
      <c r="C5" s="9" t="n">
        <v>1</v>
      </c>
      <c r="D5" s="9" t="n">
        <v>5</v>
      </c>
    </row>
    <row r="6">
      <c r="A6" s="9" t="inlineStr">
        <is>
          <t>서버 EI/EO/EQ</t>
        </is>
      </c>
      <c r="B6" s="9" t="inlineStr">
        <is>
          <t>기능_서버</t>
        </is>
      </c>
      <c r="C6" s="9" t="n">
        <v>46</v>
      </c>
      <c r="D6" s="9" t="n">
        <v>153</v>
      </c>
    </row>
    <row r="7">
      <c r="A7" s="9" t="inlineStr">
        <is>
          <t>모바일 ILF</t>
        </is>
      </c>
      <c r="B7" s="9" t="inlineStr">
        <is>
          <t>ILF_모바일</t>
        </is>
      </c>
      <c r="C7" s="9" t="n">
        <v>6</v>
      </c>
      <c r="D7" s="9" t="n">
        <v>42</v>
      </c>
    </row>
    <row r="8">
      <c r="A8" s="9" t="inlineStr">
        <is>
          <t>모바일 EI/EO/EQ</t>
        </is>
      </c>
      <c r="B8" s="9" t="inlineStr">
        <is>
          <t>기능_모바일</t>
        </is>
      </c>
      <c r="C8" s="9" t="n">
        <v>13</v>
      </c>
      <c r="D8" s="9" t="n">
        <v>43</v>
      </c>
    </row>
    <row r="10">
      <c r="A10" s="10" t="inlineStr">
        <is>
          <t>미조정 기능점수 합계(UFP)</t>
        </is>
      </c>
      <c r="D10" s="10">
        <f>SUM(D4:D8)</f>
        <v/>
      </c>
    </row>
    <row r="11">
      <c r="A11" s="10" t="inlineStr">
        <is>
          <t>보정계수(VAF)</t>
        </is>
      </c>
      <c r="D11" s="14">
        <f>VAF산정!C20</f>
        <v/>
      </c>
    </row>
    <row r="12">
      <c r="A12" s="12" t="inlineStr">
        <is>
          <t>조정 기능점수(AFP = UFP × VAF)</t>
        </is>
      </c>
      <c r="D12" s="13">
        <f>D10*D11</f>
        <v/>
      </c>
    </row>
  </sheetData>
  <mergeCells count="4">
    <mergeCell ref="A10:C10"/>
    <mergeCell ref="A1:D1"/>
    <mergeCell ref="A11:C11"/>
    <mergeCell ref="A12:C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62" customWidth="1" min="3" max="3"/>
  </cols>
  <sheetData>
    <row r="1" ht="28" customHeight="1">
      <c r="A1" s="1" t="inlineStr">
        <is>
          <t>SW개발비 산정 (「소프트웨어사업 대가산정 가이드」 FP 방식)</t>
        </is>
      </c>
    </row>
    <row r="2" ht="4" customHeight="1"/>
    <row r="3">
      <c r="A3" s="10" t="inlineStr">
        <is>
          <t>산식: SW개발비 = 조정기능점수(AFP) × FP당 단가 × (1 + 이윤율) + 직접경비</t>
        </is>
      </c>
    </row>
    <row r="5" ht="30" customHeight="1">
      <c r="A5" s="9" t="inlineStr">
        <is>
          <t>① 미조정 기능점수(UFP)</t>
        </is>
      </c>
      <c r="B5" s="9">
        <f>FP집계!D10</f>
        <v/>
      </c>
      <c r="C5" s="9" t="inlineStr">
        <is>
          <t>FP집계 시트 참조</t>
        </is>
      </c>
    </row>
    <row r="6" ht="30" customHeight="1">
      <c r="A6" s="15" t="inlineStr">
        <is>
          <t>② 보정계수(VAF)</t>
        </is>
      </c>
      <c r="B6" s="16">
        <f>VAF산정!C20</f>
        <v/>
      </c>
      <c r="C6" s="17" t="inlineStr">
        <is>
          <t>14개 일반시스템특성 평가 결과(FP집계/VAF산정 시트 참조)</t>
        </is>
      </c>
    </row>
    <row r="7" ht="30" customHeight="1">
      <c r="A7" s="18" t="inlineStr">
        <is>
          <t>③ 조정 기능점수(AFP = ①×②)</t>
        </is>
      </c>
      <c r="B7" s="19">
        <f>FP집계!D12</f>
        <v/>
      </c>
    </row>
    <row r="8" ht="30" customHeight="1"/>
    <row r="9" ht="30" customHeight="1">
      <c r="A9" s="15" t="inlineStr">
        <is>
          <t>④ FP당 단가(원/FP)</t>
        </is>
      </c>
      <c r="B9" s="20" t="n">
        <v>500000</v>
      </c>
      <c r="C9" s="17" t="inlineStr">
        <is>
          <t>★ 예시값 — 실제 사업 대가 산정 시 한국소프트웨어산업협회가 공표하는 최신 '소프트웨어사업 대가산정 가이드'의 기능점수당 단가로 반드시 교체할 것. 이 셀만 바꾸면 아래 전체 금액이 자동 재계산된다.</t>
        </is>
      </c>
    </row>
    <row r="10" ht="30" customHeight="1">
      <c r="A10" s="18" t="inlineStr">
        <is>
          <t>⑤ 소프트웨어 개발원가(③×④)</t>
        </is>
      </c>
      <c r="B10" s="21">
        <f>B7*B9</f>
        <v/>
      </c>
    </row>
    <row r="11" ht="30" customHeight="1"/>
    <row r="12" ht="30" customHeight="1">
      <c r="A12" s="15" t="inlineStr">
        <is>
          <t>⑥ 이윤율</t>
        </is>
      </c>
      <c r="B12" s="22" t="n">
        <v>0.25</v>
      </c>
      <c r="C12" s="17" t="inlineStr">
        <is>
          <t>★ 예시값(25%) — 사업 유형·협상에 따라 조정. 공공 SW사업은 통상 이윤율 상한 가이드라인을 따른다.</t>
        </is>
      </c>
    </row>
    <row r="13" ht="30" customHeight="1">
      <c r="A13" s="15" t="inlineStr">
        <is>
          <t>⑦ 이윤(⑤×⑥)</t>
        </is>
      </c>
      <c r="B13" s="23">
        <f>B10*B12</f>
        <v/>
      </c>
    </row>
    <row r="14" ht="30" customHeight="1">
      <c r="A14" s="15" t="inlineStr">
        <is>
          <t>⑧ 직접경비</t>
        </is>
      </c>
      <c r="B14" s="20" t="n">
        <v>0</v>
      </c>
      <c r="C14" s="17" t="inlineStr">
        <is>
          <t>★ 예시값(0원) — DBMS/상용 라이선스, GPU 서버 등 하드웨어, 외부 인증·인프라 비용 등 실제 조달 항목이 있으면 별도 산정해 입력. 본 문서는 온프레미스 자체 인프라(Zero External Data Egress 원칙)를 전제해 0으로 둠.</t>
        </is>
      </c>
    </row>
    <row r="15" ht="30" customHeight="1">
      <c r="A15" s="18" t="inlineStr">
        <is>
          <t>⑨ SW개발비 합계(⑤+⑦+⑧, 부가세 별도)</t>
        </is>
      </c>
      <c r="B15" s="21">
        <f>B10+B13+B14</f>
        <v/>
      </c>
    </row>
    <row r="18">
      <c r="A18" s="4" t="inlineStr">
        <is>
          <t>참고 — 산정 범위별 UFP 구성</t>
        </is>
      </c>
    </row>
    <row r="19">
      <c r="A19" s="8" t="inlineStr">
        <is>
          <t>구분</t>
        </is>
      </c>
      <c r="B19" s="8" t="inlineStr">
        <is>
          <t>UFP</t>
        </is>
      </c>
      <c r="C19" s="8" t="inlineStr">
        <is>
          <t>비중</t>
        </is>
      </c>
    </row>
    <row r="20">
      <c r="A20" s="24" t="inlineStr">
        <is>
          <t>서버 ILF</t>
        </is>
      </c>
      <c r="B20" s="24" t="n">
        <v>157</v>
      </c>
      <c r="C20" s="25">
        <f>B20/B5</f>
        <v/>
      </c>
    </row>
    <row r="21">
      <c r="A21" s="24" t="inlineStr">
        <is>
          <t>서버 EIF</t>
        </is>
      </c>
      <c r="B21" s="24" t="n">
        <v>5</v>
      </c>
      <c r="C21" s="25">
        <f>B21/B5</f>
        <v/>
      </c>
    </row>
    <row r="22">
      <c r="A22" s="24" t="inlineStr">
        <is>
          <t>서버 EI/EO/EQ</t>
        </is>
      </c>
      <c r="B22" s="24" t="n">
        <v>153</v>
      </c>
      <c r="C22" s="25">
        <f>B22/B5</f>
        <v/>
      </c>
    </row>
    <row r="23">
      <c r="A23" s="24" t="inlineStr">
        <is>
          <t>모바일 ILF</t>
        </is>
      </c>
      <c r="B23" s="24" t="n">
        <v>42</v>
      </c>
      <c r="C23" s="25">
        <f>B23/B5</f>
        <v/>
      </c>
    </row>
    <row r="24">
      <c r="A24" s="24" t="inlineStr">
        <is>
          <t>모바일 EI/EO/EQ</t>
        </is>
      </c>
      <c r="B24" s="24" t="n">
        <v>43</v>
      </c>
      <c r="C24" s="25">
        <f>B24/B5</f>
        <v/>
      </c>
    </row>
  </sheetData>
  <mergeCells count="3">
    <mergeCell ref="A1:C1"/>
    <mergeCell ref="A18:C18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2026-09-13T04:13:21Z</dcterms:created>
  <dcterms:modified xmlns:dcterms="http://purl.org/dc/terms/" xmlns:xsi="http://www.w3.org/2001/XMLSchema-instance" xsi:type="dcterms:W3CDTF">2026-09-13T04:13:21Z</dcterms:modified>
</cp:coreProperties>
</file>